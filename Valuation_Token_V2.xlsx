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Valuation" sheetId="2" state="visible" r:id="rId4"/>
    <sheet name="Ke_WACC" sheetId="3" state="visible" r:id="rId5"/>
  </sheets>
  <definedNames>
    <definedName function="false" hidden="false" localSheetId="2" name="_xlnm.Print_Area" vbProcedure="false">Ke_WACC!$A$1:$C$24</definedName>
    <definedName function="false" hidden="false" localSheetId="0" name="_xlnm.Print_Area" vbProcedure="false">Premissas!$A$1:$F$37</definedName>
    <definedName function="false" hidden="false" localSheetId="1" name="_xlnm.Print_Area" vbProcedure="false">Valuation!$A$1:$V$66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<sst xmlns="http://schemas.openxmlformats.org/spreadsheetml/2006/main" count="266" uniqueCount="160">
  <si>
    <t xml:space="preserve">IBITI Glamping G04 - Premissas do Valuation</t>
  </si>
  <si>
    <t xml:space="preserve">Documento de trabalho - set/2026 | Valuation com convenção mid-period validada em aula</t>
  </si>
  <si>
    <t xml:space="preserve">1. Premissas operacionais</t>
  </si>
  <si>
    <t xml:space="preserve">Parametro</t>
  </si>
  <si>
    <t xml:space="preserve">Valor</t>
  </si>
  <si>
    <t xml:space="preserve">Nota</t>
  </si>
  <si>
    <t xml:space="preserve">Diaria media ano 1 (R$)</t>
  </si>
  <si>
    <t xml:space="preserve">Parceiro </t>
  </si>
  <si>
    <t xml:space="preserve">Consumo medio / hospedagem ano 1 (R$)</t>
  </si>
  <si>
    <t xml:space="preserve">Estadia media (noites)</t>
  </si>
  <si>
    <t xml:space="preserve">Converte diarias em hospedagens</t>
  </si>
  <si>
    <t xml:space="preserve">Dias / mes</t>
  </si>
  <si>
    <t xml:space="preserve">360 dias/ano</t>
  </si>
  <si>
    <t xml:space="preserve">Ticket medio ano 1 (R$)</t>
  </si>
  <si>
    <t xml:space="preserve">diaria x estadia + consumo</t>
  </si>
  <si>
    <t xml:space="preserve">Reajuste ticket a.a.</t>
  </si>
  <si>
    <t xml:space="preserve">Sobe diaria E consumo (composto)</t>
  </si>
  <si>
    <t xml:space="preserve">Royalty IBITI</t>
  </si>
  <si>
    <t xml:space="preserve">Sobre faturamento bruto</t>
  </si>
  <si>
    <t xml:space="preserve">Tendas 2027</t>
  </si>
  <si>
    <t xml:space="preserve">Ano 1</t>
  </si>
  <si>
    <t xml:space="preserve">Tendas 2028-2030</t>
  </si>
  <si>
    <t xml:space="preserve">Expansao a partir de 2028</t>
  </si>
  <si>
    <t xml:space="preserve">N tokens I</t>
  </si>
  <si>
    <t xml:space="preserve">Supply fixo</t>
  </si>
  <si>
    <t xml:space="preserve">Tokens vendidos (externos)</t>
  </si>
  <si>
    <t xml:space="preserve">~ 2/3 do supply</t>
  </si>
  <si>
    <t xml:space="preserve">Tokens tesouraria IBITI</t>
  </si>
  <si>
    <t xml:space="preserve">~ 1/3 do supply</t>
  </si>
  <si>
    <t xml:space="preserve">Fat100 - 6 tendas (precos ano 1)</t>
  </si>
  <si>
    <t xml:space="preserve">Capacidade a 100%</t>
  </si>
  <si>
    <t xml:space="preserve">Fat100 - 20 tendas (precos ano 1)</t>
  </si>
  <si>
    <t xml:space="preserve">2. Premissas Token B (beneficios)</t>
  </si>
  <si>
    <t xml:space="preserve">Valor/unidades</t>
  </si>
  <si>
    <t xml:space="preserve">Tokens B por Token I por ano</t>
  </si>
  <si>
    <t xml:space="preserve">Credito anual</t>
  </si>
  <si>
    <t xml:space="preserve">Valor de face Token B (R$)</t>
  </si>
  <si>
    <t xml:space="preserve">Mediana do catalogo a preco de resgate</t>
  </si>
  <si>
    <t xml:space="preserve">Custeio anual (R$)</t>
  </si>
  <si>
    <t xml:space="preserve">8 x 780</t>
  </si>
  <si>
    <t xml:space="preserve">Custeio total 4 anos (R$)</t>
  </si>
  <si>
    <t xml:space="preserve">Abate do payout (caixa)</t>
  </si>
  <si>
    <t xml:space="preserve">Equivalente a preco de tabela / ano (R$)</t>
  </si>
  <si>
    <t xml:space="preserve">Custeio / 0,60</t>
  </si>
  <si>
    <t xml:space="preserve">Equivalente a preco de tabela / 4 anos (R$)</t>
  </si>
  <si>
    <t xml:space="preserve">24960 / 0,60 = 41600</t>
  </si>
  <si>
    <t xml:space="preserve">Desconto do catalogo</t>
  </si>
  <si>
    <t xml:space="preserve">Holder paga 60% da tabela</t>
  </si>
  <si>
    <t xml:space="preserve">Premissa de uso</t>
  </si>
  <si>
    <t xml:space="preserve">Holders utilizam os beneficios</t>
  </si>
  <si>
    <t xml:space="preserve">3. Cenarios de ocupacao</t>
  </si>
  <si>
    <t xml:space="preserve">Cenario</t>
  </si>
  <si>
    <t xml:space="preserve">2027</t>
  </si>
  <si>
    <t xml:space="preserve">2028</t>
  </si>
  <si>
    <t xml:space="preserve">2029</t>
  </si>
  <si>
    <t xml:space="preserve">2030</t>
  </si>
  <si>
    <t xml:space="preserve">Logica</t>
  </si>
  <si>
    <t xml:space="preserve">Pessimista</t>
  </si>
  <si>
    <t xml:space="preserve">38% fixo</t>
  </si>
  <si>
    <t xml:space="preserve">Base</t>
  </si>
  <si>
    <t xml:space="preserve">Base G04</t>
  </si>
  <si>
    <t xml:space="preserve">Otimista</t>
  </si>
  <si>
    <t xml:space="preserve">38% depois 50%</t>
  </si>
  <si>
    <t xml:space="preserve">Expansao (queda ano 2)</t>
  </si>
  <si>
    <t xml:space="preserve">Diluicao na expansao 6 para 20; depois recupera</t>
  </si>
  <si>
    <t xml:space="preserve">Nota: o cenario Expansao modela queda de ocupacao no 2o ano porque a capacidade triplica (6 para 20) e a demanda nao acompanha na mesma velocidade. Curva: 38/28/40/48. Ajustavel pelo grupo.</t>
  </si>
  <si>
    <t xml:space="preserve">IBITI - Valuation do Token I (4 cenarios)</t>
  </si>
  <si>
    <t xml:space="preserve">Preço = VP dos payouts brutos descontados a Ke pela convenção MID-PERIOD validada pelo professor (t = 0,5; 1,5; 2,5; 3,5). Captação = 67 tokens externos x preço.</t>
  </si>
  <si>
    <t xml:space="preserve">Convenção temporal única: 2027=t0,5; 2028=t1,5; 2029=t2,5; 2030=t3,5. O primeiro fluxo também é descontado, mas pelo ponto médio do período.</t>
  </si>
  <si>
    <t xml:space="preserve">RESUMO COMPARATIVO - MID-PERIOD</t>
  </si>
  <si>
    <t xml:space="preserve">VF Faturamento</t>
  </si>
  <si>
    <t xml:space="preserve">VF Royalty 15%</t>
  </si>
  <si>
    <t xml:space="preserve">VF Payout / token</t>
  </si>
  <si>
    <t xml:space="preserve">VP integral (100)</t>
  </si>
  <si>
    <t xml:space="preserve">Preco token (VP)</t>
  </si>
  <si>
    <t xml:space="preserve">Captacao IBITI (67 tokens)</t>
  </si>
  <si>
    <t xml:space="preserve">Caixa liquido VF</t>
  </si>
  <si>
    <t xml:space="preserve">Rend. medio a.a. (c/ benef. face)</t>
  </si>
  <si>
    <t xml:space="preserve">Rend. medio a.a. (c/ benef. tabela)</t>
  </si>
  <si>
    <t xml:space="preserve">TIR econ. (face)</t>
  </si>
  <si>
    <t xml:space="preserve">TIR caixa</t>
  </si>
  <si>
    <t xml:space="preserve">TIR econ. (tabela)</t>
  </si>
  <si>
    <t xml:space="preserve">Pacote beneficios (todos os cenarios, por Token I)</t>
  </si>
  <si>
    <t xml:space="preserve">Custeio Tokens B (4 anos)</t>
  </si>
  <si>
    <t xml:space="preserve">Abate do payout </t>
  </si>
  <si>
    <t xml:space="preserve">Valor a preco de tabela (4 anos)</t>
  </si>
  <si>
    <t xml:space="preserve">24.960 / 0,60 - marketing + valor economico</t>
  </si>
  <si>
    <t xml:space="preserve">Oferta = (VF payout - 24.960) + 41.600 em experiencias</t>
  </si>
  <si>
    <t xml:space="preserve">CENARIO: Pessimista</t>
  </si>
  <si>
    <t xml:space="preserve">Ocupacao 38% fixa nos 4 anos</t>
  </si>
  <si>
    <t xml:space="preserve">Ano</t>
  </si>
  <si>
    <t xml:space="preserve">Tendas</t>
  </si>
  <si>
    <t xml:space="preserve">Ocupacao</t>
  </si>
  <si>
    <t xml:space="preserve">Indice ticket</t>
  </si>
  <si>
    <t xml:space="preserve">Diaria</t>
  </si>
  <si>
    <t xml:space="preserve">Consumo</t>
  </si>
  <si>
    <t xml:space="preserve">Ticket/hosp</t>
  </si>
  <si>
    <t xml:space="preserve">Fat 100%</t>
  </si>
  <si>
    <t xml:space="preserve">Payout bruto / token</t>
  </si>
  <si>
    <t xml:space="preserve">Custeio Token B</t>
  </si>
  <si>
    <t xml:space="preserve">Payout liquido (caixa)</t>
  </si>
  <si>
    <t xml:space="preserve">Beneficio face</t>
  </si>
  <si>
    <t xml:space="preserve">Beneficio tabela</t>
  </si>
  <si>
    <t xml:space="preserve">t (mid-period)</t>
  </si>
  <si>
    <t xml:space="preserve">Fator (1+Ke)^t</t>
  </si>
  <si>
    <t xml:space="preserve">VP Royalty</t>
  </si>
  <si>
    <t xml:space="preserve">VP Payout</t>
  </si>
  <si>
    <t xml:space="preserve">Rend. ano caixa</t>
  </si>
  <si>
    <t xml:space="preserve">Rend. ano c/ face</t>
  </si>
  <si>
    <t xml:space="preserve">Rend. ano c/ tabela</t>
  </si>
  <si>
    <t xml:space="preserve">TOTAL / RESULTADO</t>
  </si>
  <si>
    <t xml:space="preserve">Preco do Token I (VP payout)</t>
  </si>
  <si>
    <t xml:space="preserve">VP integral (100 tokens)</t>
  </si>
  <si>
    <t xml:space="preserve">Captacao IBITI (67 tokens externos)</t>
  </si>
  <si>
    <t xml:space="preserve">67 tokens externos</t>
  </si>
  <si>
    <t xml:space="preserve">Multiplo VF bruto / preco</t>
  </si>
  <si>
    <t xml:space="preserve">Pacote ao holder: caixa liquido VF</t>
  </si>
  <si>
    <t xml:space="preserve">+ beneficios tabela</t>
  </si>
  <si>
    <t xml:space="preserve">= total economico</t>
  </si>
  <si>
    <t xml:space="preserve">CENARIO: Base</t>
  </si>
  <si>
    <t xml:space="preserve">Ocupacao 38% / 40% / 45% / 50%</t>
  </si>
  <si>
    <t xml:space="preserve">CENARIO: Otimista</t>
  </si>
  <si>
    <t xml:space="preserve">Ocupacao 38% / 50% / 50% / 50%</t>
  </si>
  <si>
    <t xml:space="preserve">CENARIO: Expansao (queda ano 2)</t>
  </si>
  <si>
    <t xml:space="preserve">38% em 2027; cai para 28% em 2028 (diluicao pela expansao 6 para 20); recupera 40% e 48%</t>
  </si>
  <si>
    <t xml:space="preserve">K_e (custo de capital proprio) - aba tecnica</t>
  </si>
  <si>
    <t xml:space="preserve">No projeto usamos K_e (CAPM). O termo WACC aparece no HTML legado; a taxa de desconto do token e K_e.</t>
  </si>
  <si>
    <t xml:space="preserve">Insumos</t>
  </si>
  <si>
    <t xml:space="preserve">Fonte / nota</t>
  </si>
  <si>
    <t xml:space="preserve">NTN-B (taxa real)</t>
  </si>
  <si>
    <t xml:space="preserve">Titulo IPCA+</t>
  </si>
  <si>
    <t xml:space="preserve">Inflacao esperada</t>
  </si>
  <si>
    <t xml:space="preserve">Premissa Fisher</t>
  </si>
  <si>
    <t xml:space="preserve">Beta desalavancado (b_u)</t>
  </si>
  <si>
    <t xml:space="preserve">Damodaran / setor</t>
  </si>
  <si>
    <t xml:space="preserve">Premio de risco de mercado (PRM)</t>
  </si>
  <si>
    <t xml:space="preserve">Damodaran Brasil</t>
  </si>
  <si>
    <t xml:space="preserve">Data-base / referência temporal</t>
  </si>
  <si>
    <t xml:space="preserve">set/2026</t>
  </si>
  <si>
    <t xml:space="preserve">Memorando com data-base set/2026. Por orientação do professor, o DCF anual usa convenção mid-period: 2027=t0,5; 2028=t1,5; 2029=t2,5; 2030=t3,5.</t>
  </si>
  <si>
    <t xml:space="preserve">Calculo</t>
  </si>
  <si>
    <t xml:space="preserve">r_f nominal (Fisher) = (1+NTN-B)x(1+inf)-1</t>
  </si>
  <si>
    <t xml:space="preserve">Taxa livre de risco nominal</t>
  </si>
  <si>
    <t xml:space="preserve">Premio = b_u x PRM</t>
  </si>
  <si>
    <t xml:space="preserve">K_e = r_f + b_u x PRM</t>
  </si>
  <si>
    <t xml:space="preserve">Taxa de desconto do DCF do token</t>
  </si>
  <si>
    <t xml:space="preserve">K_e arredondado (referencia HTML)</t>
  </si>
  <si>
    <t xml:space="preserve">~ 16,36% a.a.</t>
  </si>
  <si>
    <t xml:space="preserve">Convenção de desconto - MID-PERIOD</t>
  </si>
  <si>
    <t xml:space="preserve">t = 0,5 + (ano - 2027)</t>
  </si>
  <si>
    <t xml:space="preserve">Fluxos anuais são aproximados pelo ponto médio de cada período, refletindo geração/recebimento ao longo do ano.</t>
  </si>
  <si>
    <t xml:space="preserve">Fator 2027</t>
  </si>
  <si>
    <t xml:space="preserve">(1+Ke)^0,5</t>
  </si>
  <si>
    <t xml:space="preserve">Fator 2028</t>
  </si>
  <si>
    <t xml:space="preserve">(1+Ke)^1,5</t>
  </si>
  <si>
    <t xml:space="preserve">Fator 2029</t>
  </si>
  <si>
    <t xml:space="preserve">(1+Ke)^2,5</t>
  </si>
  <si>
    <t xml:space="preserve">Fator 2030</t>
  </si>
  <si>
    <t xml:space="preserve">(1+Ke)^3,5</t>
  </si>
  <si>
    <t xml:space="preserve">Mid-period: como os royalties são gerados ao longo de cada exercício, o modelo aproxima o recebimento médio no meio do período. Convenção acadêmica validada pelo professor: t = 0,5; 1,5; 2,5; 3,5.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</si>
</sst>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&quot;R$&quot;* #,##0.00_);_(&quot;R$&quot;* \(#,##0.00\);_(&quot;R$&quot;* \-??_);_(@_)"/>
    <numFmt numFmtId="166" formatCode="#,##0.00"/>
    <numFmt numFmtId="167" formatCode="0.00%"/>
    <numFmt numFmtId="168" formatCode="&quot;R$ &quot;#,##0;[RED]&quot;(R$ &quot;#,##0\);\-"/>
    <numFmt numFmtId="169" formatCode="0.00%;[RED]\(0.00%\);\-"/>
    <numFmt numFmtId="170" formatCode="dd/mm/yyyy"/>
    <numFmt numFmtId="171" formatCode="0.0\x"/>
    <numFmt numFmtId="172" formatCode="0.0000\x"/>
  </numFmts>
  <fonts count="1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i val="true"/>
      <sz val="9"/>
      <color rgb="FF7F6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E9F5DB"/>
      </patternFill>
    </fill>
    <fill>
      <patternFill patternType="solid">
        <fgColor rgb="FFFFF3BF"/>
        <bgColor rgb="FFFFF2CC"/>
      </patternFill>
    </fill>
    <fill>
      <patternFill patternType="solid">
        <fgColor rgb="FFFFF2CC"/>
        <bgColor rgb="FFFFF3BF"/>
      </patternFill>
    </fill>
    <fill>
      <patternFill patternType="solid">
        <fgColor rgb="FFB7E4C7"/>
        <bgColor rgb="FFD8F3DC"/>
      </patternFill>
    </fill>
    <fill>
      <patternFill patternType="solid">
        <fgColor rgb="FFE9F5DB"/>
        <bgColor rgb="FFD8F3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E4C7"/>
      <rgbColor rgb="FF808080"/>
      <rgbColor rgb="FF9999FF"/>
      <rgbColor rgb="FF993366"/>
      <rgbColor rgb="FFFFF2CC"/>
      <rgbColor rgb="FFE9F5D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3B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4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7333</v>
      </c>
      <c r="C6" s="2" t="s">
        <v>7</v>
      </c>
    </row>
    <row r="7" customFormat="false" ht="15" hidden="false" customHeight="false" outlineLevel="0" collapsed="false">
      <c r="A7" s="5" t="s">
        <v>8</v>
      </c>
      <c r="B7" s="6" t="n">
        <v>2000</v>
      </c>
      <c r="C7" s="2" t="s">
        <v>7</v>
      </c>
    </row>
    <row r="8" customFormat="false" ht="15" hidden="false" customHeight="false" outlineLevel="0" collapsed="false">
      <c r="A8" s="5" t="s">
        <v>9</v>
      </c>
      <c r="B8" s="7" t="n">
        <v>3</v>
      </c>
      <c r="C8" s="2" t="s">
        <v>10</v>
      </c>
    </row>
    <row r="9" customFormat="false" ht="15" hidden="false" customHeight="false" outlineLevel="0" collapsed="false">
      <c r="A9" s="5" t="s">
        <v>11</v>
      </c>
      <c r="B9" s="7" t="n">
        <v>30</v>
      </c>
      <c r="C9" s="2" t="s">
        <v>12</v>
      </c>
    </row>
    <row r="10" customFormat="false" ht="15" hidden="false" customHeight="false" outlineLevel="0" collapsed="false">
      <c r="A10" s="5" t="s">
        <v>13</v>
      </c>
      <c r="B10" s="6" t="n">
        <f aca="false">B6*B8+B7</f>
        <v>23999</v>
      </c>
      <c r="C10" s="2" t="s">
        <v>14</v>
      </c>
    </row>
    <row r="11" customFormat="false" ht="15" hidden="false" customHeight="false" outlineLevel="0" collapsed="false">
      <c r="A11" s="5" t="s">
        <v>15</v>
      </c>
      <c r="B11" s="8" t="n">
        <v>0.1</v>
      </c>
      <c r="C11" s="2" t="s">
        <v>16</v>
      </c>
    </row>
    <row r="12" customFormat="false" ht="15" hidden="false" customHeight="false" outlineLevel="0" collapsed="false">
      <c r="A12" s="5" t="s">
        <v>17</v>
      </c>
      <c r="B12" s="8" t="n">
        <v>0.15</v>
      </c>
      <c r="C12" s="2" t="s">
        <v>18</v>
      </c>
    </row>
    <row r="13" customFormat="false" ht="15" hidden="false" customHeight="false" outlineLevel="0" collapsed="false">
      <c r="A13" s="5" t="s">
        <v>19</v>
      </c>
      <c r="B13" s="7" t="n">
        <v>6</v>
      </c>
      <c r="C13" s="2" t="s">
        <v>20</v>
      </c>
    </row>
    <row r="14" customFormat="false" ht="15" hidden="false" customHeight="false" outlineLevel="0" collapsed="false">
      <c r="A14" s="5" t="s">
        <v>21</v>
      </c>
      <c r="B14" s="7" t="n">
        <v>20</v>
      </c>
      <c r="C14" s="2" t="s">
        <v>22</v>
      </c>
    </row>
    <row r="15" customFormat="false" ht="15" hidden="false" customHeight="false" outlineLevel="0" collapsed="false">
      <c r="A15" s="5" t="s">
        <v>23</v>
      </c>
      <c r="B15" s="7" t="n">
        <v>100</v>
      </c>
      <c r="C15" s="2" t="s">
        <v>24</v>
      </c>
    </row>
    <row r="16" customFormat="false" ht="15" hidden="false" customHeight="false" outlineLevel="0" collapsed="false">
      <c r="A16" s="5" t="s">
        <v>25</v>
      </c>
      <c r="B16" s="7" t="n">
        <f aca="false">ROUND(B15*2/3,0)</f>
        <v>67</v>
      </c>
      <c r="C16" s="2" t="s">
        <v>26</v>
      </c>
    </row>
    <row r="17" customFormat="false" ht="15" hidden="false" customHeight="false" outlineLevel="0" collapsed="false">
      <c r="A17" s="5" t="s">
        <v>27</v>
      </c>
      <c r="B17" s="7" t="n">
        <f aca="false">B15-B16</f>
        <v>33</v>
      </c>
      <c r="C17" s="2" t="s">
        <v>28</v>
      </c>
    </row>
    <row r="18" customFormat="false" ht="15" hidden="false" customHeight="false" outlineLevel="0" collapsed="false">
      <c r="A18" s="5" t="s">
        <v>29</v>
      </c>
      <c r="B18" s="6" t="n">
        <f aca="false">B9*B13*12*B6+(B9*B13*12/B8)*B7</f>
        <v>17279280</v>
      </c>
      <c r="C18" s="2" t="s">
        <v>30</v>
      </c>
    </row>
    <row r="19" customFormat="false" ht="15" hidden="false" customHeight="false" outlineLevel="0" collapsed="false">
      <c r="A19" s="5" t="s">
        <v>31</v>
      </c>
      <c r="B19" s="6" t="n">
        <f aca="false">B9*B14*12*B6+(B9*B14*12/B8)*B7</f>
        <v>57597600</v>
      </c>
      <c r="C19" s="2" t="s">
        <v>30</v>
      </c>
    </row>
    <row r="21" customFormat="false" ht="15.75" hidden="false" customHeight="true" outlineLevel="0" collapsed="false">
      <c r="A21" s="3" t="s">
        <v>32</v>
      </c>
      <c r="B21" s="3"/>
      <c r="C21" s="3"/>
    </row>
    <row r="22" customFormat="false" ht="15.75" hidden="false" customHeight="true" outlineLevel="0" collapsed="false">
      <c r="A22" s="4" t="s">
        <v>3</v>
      </c>
      <c r="B22" s="4" t="s">
        <v>33</v>
      </c>
      <c r="C22" s="4" t="s">
        <v>5</v>
      </c>
    </row>
    <row r="23" customFormat="false" ht="15.75" hidden="false" customHeight="true" outlineLevel="0" collapsed="false">
      <c r="A23" s="5" t="s">
        <v>34</v>
      </c>
      <c r="B23" s="9" t="n">
        <v>8</v>
      </c>
      <c r="C23" s="2" t="s">
        <v>35</v>
      </c>
    </row>
    <row r="24" customFormat="false" ht="15.75" hidden="false" customHeight="true" outlineLevel="0" collapsed="false">
      <c r="A24" s="5" t="s">
        <v>36</v>
      </c>
      <c r="B24" s="6" t="n">
        <v>780</v>
      </c>
      <c r="C24" s="2" t="s">
        <v>37</v>
      </c>
    </row>
    <row r="25" customFormat="false" ht="15.75" hidden="false" customHeight="true" outlineLevel="0" collapsed="false">
      <c r="A25" s="5" t="s">
        <v>38</v>
      </c>
      <c r="B25" s="6" t="n">
        <f aca="false">B23*B24</f>
        <v>6240</v>
      </c>
      <c r="C25" s="2" t="s">
        <v>39</v>
      </c>
    </row>
    <row r="26" customFormat="false" ht="15.75" hidden="false" customHeight="true" outlineLevel="0" collapsed="false">
      <c r="A26" s="5" t="s">
        <v>40</v>
      </c>
      <c r="B26" s="6" t="n">
        <f aca="false">B25*4</f>
        <v>24960</v>
      </c>
      <c r="C26" s="2" t="s">
        <v>41</v>
      </c>
    </row>
    <row r="27" customFormat="false" ht="15.75" hidden="false" customHeight="true" outlineLevel="0" collapsed="false">
      <c r="A27" s="5" t="s">
        <v>42</v>
      </c>
      <c r="B27" s="6" t="n">
        <f aca="false">B25/(1-B29)</f>
        <v>10400</v>
      </c>
      <c r="C27" s="2" t="s">
        <v>43</v>
      </c>
    </row>
    <row r="28" customFormat="false" ht="15.75" hidden="false" customHeight="true" outlineLevel="0" collapsed="false">
      <c r="A28" s="5" t="s">
        <v>44</v>
      </c>
      <c r="B28" s="6" t="n">
        <f aca="false">B26/(1-B29)</f>
        <v>41600</v>
      </c>
      <c r="C28" s="2" t="s">
        <v>45</v>
      </c>
    </row>
    <row r="29" customFormat="false" ht="15.75" hidden="false" customHeight="true" outlineLevel="0" collapsed="false">
      <c r="A29" s="5" t="s">
        <v>46</v>
      </c>
      <c r="B29" s="8" t="n">
        <v>0.4</v>
      </c>
      <c r="C29" s="2" t="s">
        <v>47</v>
      </c>
    </row>
    <row r="30" customFormat="false" ht="15.75" hidden="false" customHeight="true" outlineLevel="0" collapsed="false">
      <c r="A30" s="5" t="s">
        <v>48</v>
      </c>
      <c r="B30" s="7" t="n">
        <v>1</v>
      </c>
      <c r="C30" s="2" t="s">
        <v>49</v>
      </c>
    </row>
    <row r="31" customFormat="false" ht="15.75" hidden="false" customHeight="true" outlineLevel="0" collapsed="false">
      <c r="A31" s="3" t="s">
        <v>50</v>
      </c>
      <c r="B31" s="3"/>
      <c r="C31" s="3"/>
      <c r="D31" s="3"/>
      <c r="E31" s="3"/>
    </row>
    <row r="32" customFormat="false" ht="15.75" hidden="false" customHeight="true" outlineLevel="0" collapsed="false">
      <c r="A32" s="4" t="s">
        <v>51</v>
      </c>
      <c r="B32" s="4" t="s">
        <v>52</v>
      </c>
      <c r="C32" s="4" t="s">
        <v>53</v>
      </c>
      <c r="D32" s="4" t="s">
        <v>54</v>
      </c>
      <c r="E32" s="4" t="s">
        <v>55</v>
      </c>
      <c r="F32" s="4" t="s">
        <v>56</v>
      </c>
    </row>
    <row r="33" customFormat="false" ht="15.75" hidden="false" customHeight="true" outlineLevel="0" collapsed="false">
      <c r="A33" s="5" t="s">
        <v>57</v>
      </c>
      <c r="B33" s="8" t="n">
        <v>0.38</v>
      </c>
      <c r="C33" s="8" t="n">
        <v>0.38</v>
      </c>
      <c r="D33" s="8" t="n">
        <v>0.38</v>
      </c>
      <c r="E33" s="8" t="n">
        <v>0.38</v>
      </c>
      <c r="F33" s="2" t="s">
        <v>58</v>
      </c>
    </row>
    <row r="34" customFormat="false" ht="15.75" hidden="false" customHeight="true" outlineLevel="0" collapsed="false">
      <c r="A34" s="5" t="s">
        <v>59</v>
      </c>
      <c r="B34" s="8" t="n">
        <v>0.38</v>
      </c>
      <c r="C34" s="8" t="n">
        <v>0.4</v>
      </c>
      <c r="D34" s="8" t="n">
        <v>0.45</v>
      </c>
      <c r="E34" s="8" t="n">
        <v>0.5</v>
      </c>
      <c r="F34" s="2" t="s">
        <v>60</v>
      </c>
    </row>
    <row r="35" customFormat="false" ht="15.75" hidden="false" customHeight="true" outlineLevel="0" collapsed="false">
      <c r="A35" s="5" t="s">
        <v>61</v>
      </c>
      <c r="B35" s="8" t="n">
        <v>0.38</v>
      </c>
      <c r="C35" s="8" t="n">
        <v>0.5</v>
      </c>
      <c r="D35" s="8" t="n">
        <v>0.5</v>
      </c>
      <c r="E35" s="8" t="n">
        <v>0.5</v>
      </c>
      <c r="F35" s="2" t="s">
        <v>62</v>
      </c>
    </row>
    <row r="36" customFormat="false" ht="15.75" hidden="false" customHeight="true" outlineLevel="0" collapsed="false">
      <c r="A36" s="5" t="s">
        <v>63</v>
      </c>
      <c r="B36" s="8" t="n">
        <v>0.38</v>
      </c>
      <c r="C36" s="8" t="n">
        <v>0.28</v>
      </c>
      <c r="D36" s="8" t="n">
        <v>0.4</v>
      </c>
      <c r="E36" s="8" t="n">
        <v>0.48</v>
      </c>
      <c r="F36" s="2" t="s">
        <v>64</v>
      </c>
    </row>
    <row r="37" customFormat="false" ht="15.75" hidden="false" customHeight="true" outlineLevel="0" collapsed="false">
      <c r="A37" s="2" t="s">
        <v>65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.42"/>
    <col collapsed="false" customWidth="true" hidden="false" outlineLevel="0" max="3" min="3" style="0" width="18.71"/>
    <col collapsed="false" customWidth="true" hidden="false" outlineLevel="0" max="4" min="4" style="0" width="15.42"/>
    <col collapsed="false" customWidth="true" hidden="false" outlineLevel="0" max="5" min="5" style="0" width="16"/>
    <col collapsed="false" customWidth="true" hidden="false" outlineLevel="0" max="6" min="6" style="0" width="17.14"/>
    <col collapsed="false" customWidth="true" hidden="false" outlineLevel="0" max="7" min="7" style="0" width="17.57"/>
    <col collapsed="false" customWidth="true" hidden="false" outlineLevel="0" max="8" min="8" style="0" width="17.14"/>
    <col collapsed="false" customWidth="true" hidden="false" outlineLevel="0" max="22" min="9" style="0" width="14"/>
    <col collapsed="false" customWidth="true" hidden="true" outlineLevel="0" max="42" min="23" style="0" width="13"/>
  </cols>
  <sheetData>
    <row r="1" customFormat="false" ht="19.7" hidden="false" customHeight="false" outlineLevel="0" collapsed="false">
      <c r="A1" s="1" t="s">
        <v>66</v>
      </c>
    </row>
    <row r="2" customFormat="false" ht="30" hidden="false" customHeight="true" outlineLevel="0" collapsed="false">
      <c r="A2" s="10" t="s">
        <v>67</v>
      </c>
    </row>
    <row r="3" customFormat="false" ht="30" hidden="false" customHeight="true" outlineLevel="0" collapsed="false">
      <c r="A3" s="10" t="s">
        <v>68</v>
      </c>
    </row>
    <row r="4" customFormat="false" ht="15" hidden="false" customHeight="false" outlineLevel="0" collapsed="false">
      <c r="A4" s="3" t="s">
        <v>69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51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</row>
    <row r="6" customFormat="false" ht="15" hidden="false" customHeight="false" outlineLevel="0" collapsed="false">
      <c r="A6" s="5" t="s">
        <v>57</v>
      </c>
      <c r="B6" s="11" t="n">
        <f aca="false">I22</f>
        <v>86257013.808</v>
      </c>
      <c r="C6" s="11" t="n">
        <f aca="false">J22</f>
        <v>12938552.0712</v>
      </c>
      <c r="D6" s="11" t="n">
        <f aca="false">K22</f>
        <v>129385.520712</v>
      </c>
      <c r="E6" s="11" t="n">
        <f aca="false">B24</f>
        <v>9081858.79365625</v>
      </c>
      <c r="F6" s="12" t="n">
        <f aca="false">E6/Premissas!$B$15</f>
        <v>90818.5879365624</v>
      </c>
      <c r="G6" s="12" t="n">
        <f aca="false">F6*Premissas!$B$16</f>
        <v>6084845.39174968</v>
      </c>
      <c r="H6" s="11" t="n">
        <f aca="false">M22</f>
        <v>104425.520712</v>
      </c>
      <c r="I6" s="13" t="n">
        <f aca="false">U22</f>
        <v>0.356164755618026</v>
      </c>
      <c r="J6" s="14" t="n">
        <f aca="false">V22</f>
        <v>0.401970356591538</v>
      </c>
      <c r="K6" s="14" t="n">
        <f aca="false">Ke_WACC!$B$14</f>
        <v>0.163574</v>
      </c>
      <c r="L6" s="14" t="n">
        <f aca="false">XIRR(AB6:AF6,$AL$6:$AP$6)</f>
        <v>0.0578457421812067</v>
      </c>
      <c r="M6" s="8" t="n">
        <f aca="false">IRR(AG6:AK6)</f>
        <v>0.186585534414379</v>
      </c>
      <c r="W6" s="15" t="n">
        <f aca="false">-F6</f>
        <v>-90818.5879365624</v>
      </c>
      <c r="X6" s="16" t="n">
        <f aca="false">K18</f>
        <v>9849.1896</v>
      </c>
      <c r="Y6" s="16" t="n">
        <f aca="false">K19</f>
        <v>36113.6952</v>
      </c>
      <c r="Z6" s="16" t="n">
        <f aca="false">K20</f>
        <v>39725.06472</v>
      </c>
      <c r="AA6" s="16" t="n">
        <f aca="false">K21</f>
        <v>43697.571192</v>
      </c>
      <c r="AB6" s="15" t="n">
        <f aca="false">-F6</f>
        <v>-90818.5879365624</v>
      </c>
      <c r="AC6" s="16" t="n">
        <f aca="false">M18</f>
        <v>3609.1896</v>
      </c>
      <c r="AD6" s="16" t="n">
        <f aca="false">M19</f>
        <v>29873.6952</v>
      </c>
      <c r="AE6" s="16" t="n">
        <f aca="false">M20</f>
        <v>33485.06472</v>
      </c>
      <c r="AF6" s="16" t="n">
        <f aca="false">M21</f>
        <v>37457.571192</v>
      </c>
      <c r="AG6" s="15" t="n">
        <f aca="false">-F6</f>
        <v>-90818.5879365624</v>
      </c>
      <c r="AH6" s="15" t="n">
        <f aca="false">M18+O18</f>
        <v>14009.1896</v>
      </c>
      <c r="AI6" s="15" t="n">
        <f aca="false">M19+O19</f>
        <v>40273.6952</v>
      </c>
      <c r="AJ6" s="15" t="n">
        <f aca="false">M20+O20</f>
        <v>43885.06472</v>
      </c>
      <c r="AK6" s="15" t="n">
        <f aca="false">M21+O21</f>
        <v>47857.571192</v>
      </c>
      <c r="AL6" s="17" t="n">
        <v>46388</v>
      </c>
      <c r="AM6" s="17" t="n">
        <v>46570</v>
      </c>
      <c r="AN6" s="17" t="n">
        <v>46936</v>
      </c>
      <c r="AO6" s="17" t="n">
        <v>47301</v>
      </c>
      <c r="AP6" s="17" t="n">
        <v>47666</v>
      </c>
    </row>
    <row r="7" customFormat="false" ht="15" hidden="false" customHeight="false" outlineLevel="0" collapsed="false">
      <c r="A7" s="5" t="s">
        <v>59</v>
      </c>
      <c r="B7" s="11" t="n">
        <f aca="false">I35</f>
        <v>101602166.4</v>
      </c>
      <c r="C7" s="11" t="n">
        <f aca="false">J35</f>
        <v>15240324.96</v>
      </c>
      <c r="D7" s="11" t="n">
        <f aca="false">K35</f>
        <v>152403.2496</v>
      </c>
      <c r="E7" s="11" t="n">
        <f aca="false">B37</f>
        <v>10546396.3119262</v>
      </c>
      <c r="F7" s="12" t="n">
        <f aca="false">E7/Premissas!$B$15</f>
        <v>105463.963119262</v>
      </c>
      <c r="G7" s="12" t="n">
        <f aca="false">F7*Premissas!$B$16</f>
        <v>7066085.52899054</v>
      </c>
      <c r="H7" s="11" t="n">
        <f aca="false">M35</f>
        <v>127443.2496</v>
      </c>
      <c r="I7" s="13" t="n">
        <f aca="false">U35</f>
        <v>0.361268543994639</v>
      </c>
      <c r="J7" s="14" t="n">
        <f aca="false">V35</f>
        <v>0.400713297225614</v>
      </c>
      <c r="K7" s="14" t="n">
        <f aca="false">Ke_WACC!$B$14</f>
        <v>0.163574</v>
      </c>
      <c r="L7" s="14" t="n">
        <f aca="false">XIRR(AB7:AF7,$AL$7:$AP$7)</f>
        <v>0.0764567358115068</v>
      </c>
      <c r="M7" s="8" t="n">
        <f aca="false">IRR(AG7:AK7)</f>
        <v>0.17864576212205</v>
      </c>
      <c r="W7" s="15" t="n">
        <f aca="false">-F7</f>
        <v>-105463.963119262</v>
      </c>
      <c r="X7" s="16" t="n">
        <f aca="false">K31</f>
        <v>9849.1896</v>
      </c>
      <c r="Y7" s="16" t="n">
        <f aca="false">K32</f>
        <v>38014.416</v>
      </c>
      <c r="Z7" s="16" t="n">
        <f aca="false">K33</f>
        <v>47042.8398</v>
      </c>
      <c r="AA7" s="16" t="n">
        <f aca="false">K34</f>
        <v>57496.8042</v>
      </c>
      <c r="AB7" s="15" t="n">
        <f aca="false">-F7</f>
        <v>-105463.963119262</v>
      </c>
      <c r="AC7" s="16" t="n">
        <f aca="false">M31</f>
        <v>3609.1896</v>
      </c>
      <c r="AD7" s="16" t="n">
        <f aca="false">M32</f>
        <v>31774.416</v>
      </c>
      <c r="AE7" s="16" t="n">
        <f aca="false">M33</f>
        <v>40802.8398</v>
      </c>
      <c r="AF7" s="16" t="n">
        <f aca="false">M34</f>
        <v>51256.8042</v>
      </c>
      <c r="AG7" s="15" t="n">
        <f aca="false">-F7</f>
        <v>-105463.963119262</v>
      </c>
      <c r="AH7" s="15" t="n">
        <f aca="false">M31+O31</f>
        <v>14009.1896</v>
      </c>
      <c r="AI7" s="15" t="n">
        <f aca="false">M32+O32</f>
        <v>42174.416</v>
      </c>
      <c r="AJ7" s="15" t="n">
        <f aca="false">M33+O33</f>
        <v>51202.8398</v>
      </c>
      <c r="AK7" s="15" t="n">
        <f aca="false">M34+O34</f>
        <v>61656.8042</v>
      </c>
      <c r="AL7" s="17" t="n">
        <v>46388</v>
      </c>
      <c r="AM7" s="17" t="n">
        <v>46570</v>
      </c>
      <c r="AN7" s="17" t="n">
        <v>46936</v>
      </c>
      <c r="AO7" s="17" t="n">
        <v>47301</v>
      </c>
      <c r="AP7" s="17" t="n">
        <v>47666</v>
      </c>
    </row>
    <row r="8" customFormat="false" ht="15" hidden="false" customHeight="false" outlineLevel="0" collapsed="false">
      <c r="A8" s="5" t="s">
        <v>61</v>
      </c>
      <c r="B8" s="11" t="n">
        <f aca="false">I48</f>
        <v>111422557.2</v>
      </c>
      <c r="C8" s="11" t="n">
        <f aca="false">J48</f>
        <v>16713383.58</v>
      </c>
      <c r="D8" s="11" t="n">
        <f aca="false">K48</f>
        <v>167133.8358</v>
      </c>
      <c r="E8" s="11" t="n">
        <f aca="false">B50</f>
        <v>11661476.6925948</v>
      </c>
      <c r="F8" s="12" t="n">
        <f aca="false">E8/Premissas!$B$15</f>
        <v>116614.766925948</v>
      </c>
      <c r="G8" s="12" t="n">
        <f aca="false">F8*Premissas!$B$16</f>
        <v>7813189.38403852</v>
      </c>
      <c r="H8" s="11" t="n">
        <f aca="false">M48</f>
        <v>142173.8358</v>
      </c>
      <c r="I8" s="13" t="n">
        <f aca="false">U48</f>
        <v>0.358303326855106</v>
      </c>
      <c r="J8" s="14" t="n">
        <f aca="false">V48</f>
        <v>0.393976339027241</v>
      </c>
      <c r="K8" s="14" t="n">
        <f aca="false">Ke_WACC!$B$14</f>
        <v>0.163574</v>
      </c>
      <c r="L8" s="14" t="n">
        <f aca="false">XIRR(AB8:AF8,$AL$8:$AP$8)</f>
        <v>0.082819866717226</v>
      </c>
      <c r="M8" s="8" t="n">
        <f aca="false">IRR(AG8:AK8)</f>
        <v>0.174526579086604</v>
      </c>
      <c r="W8" s="15" t="n">
        <f aca="false">-F8</f>
        <v>-116614.766925948</v>
      </c>
      <c r="X8" s="16" t="n">
        <f aca="false">K44</f>
        <v>9849.1896</v>
      </c>
      <c r="Y8" s="16" t="n">
        <f aca="false">K45</f>
        <v>47518.02</v>
      </c>
      <c r="Z8" s="16" t="n">
        <f aca="false">K46</f>
        <v>52269.822</v>
      </c>
      <c r="AA8" s="16" t="n">
        <f aca="false">K47</f>
        <v>57496.8042</v>
      </c>
      <c r="AB8" s="15" t="n">
        <f aca="false">-F8</f>
        <v>-116614.766925948</v>
      </c>
      <c r="AC8" s="16" t="n">
        <f aca="false">M44</f>
        <v>3609.1896</v>
      </c>
      <c r="AD8" s="16" t="n">
        <f aca="false">M45</f>
        <v>41278.02</v>
      </c>
      <c r="AE8" s="16" t="n">
        <f aca="false">M46</f>
        <v>46029.822</v>
      </c>
      <c r="AF8" s="16" t="n">
        <f aca="false">M47</f>
        <v>51256.8042</v>
      </c>
      <c r="AG8" s="15" t="n">
        <f aca="false">-F8</f>
        <v>-116614.766925948</v>
      </c>
      <c r="AH8" s="15" t="n">
        <f aca="false">M44+O44</f>
        <v>14009.1896</v>
      </c>
      <c r="AI8" s="15" t="n">
        <f aca="false">M45+O45</f>
        <v>51678.02</v>
      </c>
      <c r="AJ8" s="15" t="n">
        <f aca="false">M46+O46</f>
        <v>56429.822</v>
      </c>
      <c r="AK8" s="15" t="n">
        <f aca="false">M47+O47</f>
        <v>61656.8042</v>
      </c>
      <c r="AL8" s="17" t="n">
        <v>46388</v>
      </c>
      <c r="AM8" s="17" t="n">
        <v>46570</v>
      </c>
      <c r="AN8" s="17" t="n">
        <v>46936</v>
      </c>
      <c r="AO8" s="17" t="n">
        <v>47301</v>
      </c>
      <c r="AP8" s="17" t="n">
        <v>47666</v>
      </c>
    </row>
    <row r="9" customFormat="false" ht="15" hidden="false" customHeight="false" outlineLevel="0" collapsed="false">
      <c r="A9" s="5" t="s">
        <v>63</v>
      </c>
      <c r="B9" s="11" t="n">
        <f aca="false">I61</f>
        <v>88981380.288</v>
      </c>
      <c r="C9" s="11" t="n">
        <f aca="false">J61</f>
        <v>13347207.0432</v>
      </c>
      <c r="D9" s="11" t="n">
        <f aca="false">K61</f>
        <v>133472.070432</v>
      </c>
      <c r="E9" s="11" t="n">
        <f aca="false">B63</f>
        <v>9144541.03280233</v>
      </c>
      <c r="F9" s="12" t="n">
        <f aca="false">E9/Premissas!$B$15</f>
        <v>91445.4103280233</v>
      </c>
      <c r="G9" s="12" t="n">
        <f aca="false">F9*Premissas!$B$16</f>
        <v>6126842.49197756</v>
      </c>
      <c r="H9" s="11" t="n">
        <f aca="false">M61</f>
        <v>108512.070432</v>
      </c>
      <c r="I9" s="13" t="n">
        <f aca="false">U61</f>
        <v>0.364895487792179</v>
      </c>
      <c r="J9" s="14" t="n">
        <f aca="false">V61</f>
        <v>0.410387109351727</v>
      </c>
      <c r="K9" s="14" t="n">
        <f aca="false">Ke_WACC!$B$14</f>
        <v>0.163574</v>
      </c>
      <c r="L9" s="14" t="n">
        <f aca="false">XIRR(AB9:AF9,$AL$9:$AP$9)</f>
        <v>0.0660746586384612</v>
      </c>
      <c r="M9" s="8" t="n">
        <f aca="false">IRR(AG9:AK9)</f>
        <v>0.185096104751948</v>
      </c>
      <c r="W9" s="15" t="n">
        <f aca="false">-F9</f>
        <v>-91445.4103280233</v>
      </c>
      <c r="X9" s="16" t="n">
        <f aca="false">K57</f>
        <v>9849.1896</v>
      </c>
      <c r="Y9" s="16" t="n">
        <f aca="false">K58</f>
        <v>26610.0912</v>
      </c>
      <c r="Z9" s="16" t="n">
        <f aca="false">K59</f>
        <v>41815.8576</v>
      </c>
      <c r="AA9" s="16" t="n">
        <f aca="false">K60</f>
        <v>55196.932032</v>
      </c>
      <c r="AB9" s="15" t="n">
        <f aca="false">-F9</f>
        <v>-91445.4103280233</v>
      </c>
      <c r="AC9" s="16" t="n">
        <f aca="false">M57</f>
        <v>3609.1896</v>
      </c>
      <c r="AD9" s="16" t="n">
        <f aca="false">M58</f>
        <v>20370.0912</v>
      </c>
      <c r="AE9" s="16" t="n">
        <f aca="false">M59</f>
        <v>35575.8576</v>
      </c>
      <c r="AF9" s="16" t="n">
        <f aca="false">M60</f>
        <v>48956.932032</v>
      </c>
      <c r="AG9" s="15" t="n">
        <f aca="false">-F9</f>
        <v>-91445.4103280233</v>
      </c>
      <c r="AH9" s="15" t="n">
        <f aca="false">M57+O57</f>
        <v>14009.1896</v>
      </c>
      <c r="AI9" s="15" t="n">
        <f aca="false">M58+O58</f>
        <v>30770.0912</v>
      </c>
      <c r="AJ9" s="15" t="n">
        <f aca="false">M59+O59</f>
        <v>45975.8576</v>
      </c>
      <c r="AK9" s="15" t="n">
        <f aca="false">M60+O60</f>
        <v>59356.932032</v>
      </c>
      <c r="AL9" s="17" t="n">
        <v>46388</v>
      </c>
      <c r="AM9" s="17" t="n">
        <v>46570</v>
      </c>
      <c r="AN9" s="17" t="n">
        <v>46936</v>
      </c>
      <c r="AO9" s="17" t="n">
        <v>47301</v>
      </c>
      <c r="AP9" s="17" t="n">
        <v>47666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18" t="s">
        <v>82</v>
      </c>
      <c r="F11" s="19"/>
    </row>
    <row r="12" customFormat="false" ht="15" hidden="false" customHeight="false" outlineLevel="0" collapsed="false">
      <c r="A12" s="5" t="s">
        <v>83</v>
      </c>
      <c r="B12" s="6" t="n">
        <f aca="false">Premissas!B26</f>
        <v>24960</v>
      </c>
      <c r="C12" s="2" t="s">
        <v>84</v>
      </c>
      <c r="F12" s="6"/>
    </row>
    <row r="13" customFormat="false" ht="15" hidden="false" customHeight="false" outlineLevel="0" collapsed="false">
      <c r="A13" s="5" t="s">
        <v>85</v>
      </c>
      <c r="B13" s="6" t="n">
        <f aca="false">Premissas!B28</f>
        <v>41600</v>
      </c>
      <c r="C13" s="2" t="s">
        <v>86</v>
      </c>
      <c r="F13" s="6"/>
    </row>
    <row r="14" customFormat="false" ht="15" hidden="false" customHeight="false" outlineLevel="0" collapsed="false">
      <c r="A14" s="2" t="s">
        <v>87</v>
      </c>
      <c r="F14" s="6"/>
    </row>
    <row r="15" customFormat="false" ht="15" hidden="false" customHeight="false" outlineLevel="0" collapsed="false">
      <c r="F15" s="6"/>
    </row>
    <row r="16" customFormat="false" ht="15" hidden="false" customHeight="false" outlineLevel="0" collapsed="false">
      <c r="A16" s="3" t="s">
        <v>88</v>
      </c>
      <c r="B16" s="3" t="s">
        <v>89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  <c r="H17" s="3" t="s">
        <v>97</v>
      </c>
      <c r="I17" s="3" t="s">
        <v>70</v>
      </c>
      <c r="J17" s="3" t="s">
        <v>71</v>
      </c>
      <c r="K17" s="3" t="s">
        <v>98</v>
      </c>
      <c r="L17" s="3" t="s">
        <v>99</v>
      </c>
      <c r="M17" s="3" t="s">
        <v>100</v>
      </c>
      <c r="N17" s="3" t="s">
        <v>101</v>
      </c>
      <c r="O17" s="3" t="s">
        <v>102</v>
      </c>
      <c r="P17" s="3" t="s">
        <v>103</v>
      </c>
      <c r="Q17" s="3" t="s">
        <v>104</v>
      </c>
      <c r="R17" s="3" t="s">
        <v>105</v>
      </c>
      <c r="S17" s="3" t="s">
        <v>106</v>
      </c>
      <c r="T17" s="3" t="s">
        <v>107</v>
      </c>
      <c r="U17" s="3" t="s">
        <v>108</v>
      </c>
      <c r="V17" s="3" t="s">
        <v>109</v>
      </c>
    </row>
    <row r="18" customFormat="false" ht="15" hidden="false" customHeight="false" outlineLevel="0" collapsed="false">
      <c r="A18" s="7" t="n">
        <v>2027</v>
      </c>
      <c r="B18" s="7" t="n">
        <f aca="false">IF(A18=2027,Premissas!$B$13,Premissas!$B$14)</f>
        <v>6</v>
      </c>
      <c r="C18" s="8" t="n">
        <f aca="false">Premissas!B33</f>
        <v>0.38</v>
      </c>
      <c r="D18" s="7" t="n">
        <f aca="false">(1+Premissas!$B$11)^(A18-2027)</f>
        <v>1</v>
      </c>
      <c r="E18" s="11" t="n">
        <f aca="false">Premissas!$B$6*D18</f>
        <v>7333</v>
      </c>
      <c r="F18" s="11" t="n">
        <f aca="false">Premissas!$B$7*D18</f>
        <v>2000</v>
      </c>
      <c r="G18" s="11" t="n">
        <f aca="false">E18*Premissas!$B$8+F18</f>
        <v>23999</v>
      </c>
      <c r="H18" s="11" t="n">
        <f aca="false">IF(B18=Premissas!$B$13,Premissas!$B$18,Premissas!$B$19)*D18</f>
        <v>17279280</v>
      </c>
      <c r="I18" s="11" t="n">
        <f aca="false">H18*C18</f>
        <v>6566126.4</v>
      </c>
      <c r="J18" s="11" t="n">
        <f aca="false">I18*Premissas!$B$12</f>
        <v>984918.96</v>
      </c>
      <c r="K18" s="11" t="n">
        <f aca="false">J18/Premissas!$B$15</f>
        <v>9849.1896</v>
      </c>
      <c r="L18" s="11" t="n">
        <f aca="false">Premissas!$B$25</f>
        <v>6240</v>
      </c>
      <c r="M18" s="11" t="n">
        <f aca="false">K18-L18</f>
        <v>3609.1896</v>
      </c>
      <c r="N18" s="11" t="n">
        <f aca="false">Premissas!$B$25</f>
        <v>6240</v>
      </c>
      <c r="O18" s="11" t="n">
        <f aca="false">Premissas!$B$27</f>
        <v>10400</v>
      </c>
      <c r="P18" s="20" t="n">
        <f aca="false">0.5+(A18-2027)</f>
        <v>0.5</v>
      </c>
      <c r="Q18" s="21" t="n">
        <f aca="false">(1+Ke_WACC!$B$14)^P18</f>
        <v>1.07869087323477</v>
      </c>
      <c r="R18" s="11" t="n">
        <f aca="false">J18/Q18</f>
        <v>913068.780350786</v>
      </c>
      <c r="S18" s="11" t="n">
        <f aca="false">K18/Q18</f>
        <v>9130.68780350786</v>
      </c>
      <c r="T18" s="8" t="n">
        <f aca="false">M18/$B23</f>
        <v>0.0397406487152283</v>
      </c>
      <c r="U18" s="8" t="n">
        <f aca="false">(M18+N18)/$B23</f>
        <v>0.108449050175496</v>
      </c>
      <c r="V18" s="8" t="n">
        <f aca="false">(M18+O18)/$B23</f>
        <v>0.154254651149009</v>
      </c>
    </row>
    <row r="19" customFormat="false" ht="15" hidden="false" customHeight="false" outlineLevel="0" collapsed="false">
      <c r="A19" s="7" t="n">
        <v>2028</v>
      </c>
      <c r="B19" s="7" t="n">
        <f aca="false">IF(A19=2027,Premissas!$B$13,Premissas!$B$14)</f>
        <v>20</v>
      </c>
      <c r="C19" s="8" t="n">
        <f aca="false">Premissas!C33</f>
        <v>0.38</v>
      </c>
      <c r="D19" s="7" t="n">
        <f aca="false">(1+Premissas!$B$11)^(A19-2027)</f>
        <v>1.1</v>
      </c>
      <c r="E19" s="11" t="n">
        <f aca="false">Premissas!$B$6*D19</f>
        <v>8066.3</v>
      </c>
      <c r="F19" s="11" t="n">
        <f aca="false">Premissas!$B$7*D19</f>
        <v>2200</v>
      </c>
      <c r="G19" s="11" t="n">
        <f aca="false">E19*Premissas!$B$8+F19</f>
        <v>26398.9</v>
      </c>
      <c r="H19" s="11" t="n">
        <f aca="false">IF(B19=Premissas!$B$13,Premissas!$B$18,Premissas!$B$19)*D19</f>
        <v>63357360</v>
      </c>
      <c r="I19" s="11" t="n">
        <f aca="false">H19*C19</f>
        <v>24075796.8</v>
      </c>
      <c r="J19" s="11" t="n">
        <f aca="false">I19*Premissas!$B$12</f>
        <v>3611369.52</v>
      </c>
      <c r="K19" s="11" t="n">
        <f aca="false">J19/Premissas!$B$15</f>
        <v>36113.6952</v>
      </c>
      <c r="L19" s="11" t="n">
        <f aca="false">Premissas!$B$25</f>
        <v>6240</v>
      </c>
      <c r="M19" s="11" t="n">
        <f aca="false">K19-L19</f>
        <v>29873.6952</v>
      </c>
      <c r="N19" s="11" t="n">
        <f aca="false">Premissas!$B$25</f>
        <v>6240</v>
      </c>
      <c r="O19" s="11" t="n">
        <f aca="false">Premissas!$B$27</f>
        <v>10400</v>
      </c>
      <c r="P19" s="20" t="n">
        <f aca="false">0.5+(A19-2027)</f>
        <v>1.5</v>
      </c>
      <c r="Q19" s="21" t="n">
        <f aca="false">(1+Ke_WACC!$B$14)^P19</f>
        <v>1.25513665413328</v>
      </c>
      <c r="R19" s="11" t="n">
        <f aca="false">J19/Q19</f>
        <v>2877271.97521276</v>
      </c>
      <c r="S19" s="11" t="n">
        <f aca="false">K19/Q19</f>
        <v>28772.7197521276</v>
      </c>
      <c r="T19" s="8" t="n">
        <f aca="false">M19/$B23</f>
        <v>0.328938115849886</v>
      </c>
      <c r="U19" s="8" t="n">
        <f aca="false">(M19+N19)/$B23</f>
        <v>0.397646517310154</v>
      </c>
      <c r="V19" s="8" t="n">
        <f aca="false">(M19+O19)/$B23</f>
        <v>0.443452118283666</v>
      </c>
    </row>
    <row r="20" customFormat="false" ht="15" hidden="false" customHeight="false" outlineLevel="0" collapsed="false">
      <c r="A20" s="7" t="n">
        <v>2029</v>
      </c>
      <c r="B20" s="7" t="n">
        <f aca="false">IF(A20=2027,Premissas!$B$13,Premissas!$B$14)</f>
        <v>20</v>
      </c>
      <c r="C20" s="8" t="n">
        <f aca="false">Premissas!D33</f>
        <v>0.38</v>
      </c>
      <c r="D20" s="7" t="n">
        <f aca="false">(1+Premissas!$B$11)^(A20-2027)</f>
        <v>1.21</v>
      </c>
      <c r="E20" s="11" t="n">
        <f aca="false">Premissas!$B$6*D20</f>
        <v>8872.93</v>
      </c>
      <c r="F20" s="11" t="n">
        <f aca="false">Premissas!$B$7*D20</f>
        <v>2420</v>
      </c>
      <c r="G20" s="11" t="n">
        <f aca="false">E20*Premissas!$B$8+F20</f>
        <v>29038.79</v>
      </c>
      <c r="H20" s="11" t="n">
        <f aca="false">IF(B20=Premissas!$B$13,Premissas!$B$18,Premissas!$B$19)*D20</f>
        <v>69693096</v>
      </c>
      <c r="I20" s="11" t="n">
        <f aca="false">H20*C20</f>
        <v>26483376.48</v>
      </c>
      <c r="J20" s="11" t="n">
        <f aca="false">I20*Premissas!$B$12</f>
        <v>3972506.472</v>
      </c>
      <c r="K20" s="11" t="n">
        <f aca="false">J20/Premissas!$B$15</f>
        <v>39725.06472</v>
      </c>
      <c r="L20" s="11" t="n">
        <f aca="false">Premissas!$B$25</f>
        <v>6240</v>
      </c>
      <c r="M20" s="11" t="n">
        <f aca="false">K20-L20</f>
        <v>33485.06472</v>
      </c>
      <c r="N20" s="11" t="n">
        <f aca="false">Premissas!$B$25</f>
        <v>6240</v>
      </c>
      <c r="O20" s="11" t="n">
        <f aca="false">Premissas!$B$27</f>
        <v>10400</v>
      </c>
      <c r="P20" s="20" t="n">
        <f aca="false">0.5+(A20-2027)</f>
        <v>2.5</v>
      </c>
      <c r="Q20" s="21" t="n">
        <f aca="false">(1+Ke_WACC!$B$14)^P20</f>
        <v>1.46044437719648</v>
      </c>
      <c r="R20" s="11" t="n">
        <f aca="false">J20/Q20</f>
        <v>2720066.94265603</v>
      </c>
      <c r="S20" s="11" t="n">
        <f aca="false">K20/Q20</f>
        <v>27200.6694265602</v>
      </c>
      <c r="T20" s="8" t="n">
        <f aca="false">M20/$B23</f>
        <v>0.368702767580901</v>
      </c>
      <c r="U20" s="8" t="n">
        <f aca="false">(M20+N20)/$B23</f>
        <v>0.437411169041169</v>
      </c>
      <c r="V20" s="8" t="n">
        <f aca="false">(M20+O20)/$B23</f>
        <v>0.483216770014681</v>
      </c>
    </row>
    <row r="21" customFormat="false" ht="15.75" hidden="false" customHeight="true" outlineLevel="0" collapsed="false">
      <c r="A21" s="7" t="n">
        <v>2030</v>
      </c>
      <c r="B21" s="7" t="n">
        <f aca="false">IF(A21=2027,Premissas!$B$13,Premissas!$B$14)</f>
        <v>20</v>
      </c>
      <c r="C21" s="8" t="n">
        <f aca="false">Premissas!E33</f>
        <v>0.38</v>
      </c>
      <c r="D21" s="7" t="n">
        <f aca="false">(1+Premissas!$B$11)^(A21-2027)</f>
        <v>1.331</v>
      </c>
      <c r="E21" s="11" t="n">
        <f aca="false">Premissas!$B$6*D21</f>
        <v>9760.223</v>
      </c>
      <c r="F21" s="11" t="n">
        <f aca="false">Premissas!$B$7*D21</f>
        <v>2662</v>
      </c>
      <c r="G21" s="11" t="n">
        <f aca="false">E21*Premissas!$B$8+F21</f>
        <v>31942.669</v>
      </c>
      <c r="H21" s="11" t="n">
        <f aca="false">IF(B21=Premissas!$B$13,Premissas!$B$18,Premissas!$B$19)*D21</f>
        <v>76662405.6</v>
      </c>
      <c r="I21" s="11" t="n">
        <f aca="false">H21*C21</f>
        <v>29131714.128</v>
      </c>
      <c r="J21" s="11" t="n">
        <f aca="false">I21*Premissas!$B$12</f>
        <v>4369757.1192</v>
      </c>
      <c r="K21" s="11" t="n">
        <f aca="false">J21/Premissas!$B$15</f>
        <v>43697.571192</v>
      </c>
      <c r="L21" s="11" t="n">
        <f aca="false">Premissas!$B$25</f>
        <v>6240</v>
      </c>
      <c r="M21" s="11" t="n">
        <f aca="false">K21-L21</f>
        <v>37457.571192</v>
      </c>
      <c r="N21" s="11" t="n">
        <f aca="false">Premissas!$B$25</f>
        <v>6240</v>
      </c>
      <c r="O21" s="11" t="n">
        <f aca="false">Premissas!$B$27</f>
        <v>10400</v>
      </c>
      <c r="P21" s="20" t="n">
        <f aca="false">0.5+(A21-2027)</f>
        <v>3.5</v>
      </c>
      <c r="Q21" s="21" t="n">
        <f aca="false">(1+Ke_WACC!$B$14)^P21</f>
        <v>1.69933510575201</v>
      </c>
      <c r="R21" s="11" t="n">
        <f aca="false">J21/Q21</f>
        <v>2571451.09543667</v>
      </c>
      <c r="S21" s="11" t="n">
        <f aca="false">K21/Q21</f>
        <v>25714.5109543667</v>
      </c>
      <c r="T21" s="8" t="n">
        <f aca="false">M21/$B23</f>
        <v>0.412443884485018</v>
      </c>
      <c r="U21" s="8" t="n">
        <f aca="false">(M21+N21)/$B23</f>
        <v>0.481152285945286</v>
      </c>
      <c r="V21" s="8" t="n">
        <f aca="false">(M21+O21)/$B23</f>
        <v>0.526957886918798</v>
      </c>
    </row>
    <row r="22" customFormat="false" ht="15.75" hidden="false" customHeight="true" outlineLevel="0" collapsed="false">
      <c r="A22" s="4" t="s">
        <v>110</v>
      </c>
      <c r="B22" s="4"/>
      <c r="C22" s="4"/>
      <c r="D22" s="4"/>
      <c r="E22" s="4"/>
      <c r="F22" s="4"/>
      <c r="G22" s="4"/>
      <c r="H22" s="4"/>
      <c r="I22" s="22" t="n">
        <f aca="false">SUM(I18:I21)</f>
        <v>86257013.808</v>
      </c>
      <c r="J22" s="22" t="n">
        <f aca="false">SUM(J18:J21)</f>
        <v>12938552.0712</v>
      </c>
      <c r="K22" s="22" t="n">
        <f aca="false">SUM(K18:K21)</f>
        <v>129385.520712</v>
      </c>
      <c r="L22" s="22" t="n">
        <f aca="false">SUM(L18:L21)</f>
        <v>24960</v>
      </c>
      <c r="M22" s="22" t="n">
        <f aca="false">SUM(M18:M21)</f>
        <v>104425.520712</v>
      </c>
      <c r="N22" s="22" t="n">
        <f aca="false">SUM(N18:N21)</f>
        <v>24960</v>
      </c>
      <c r="O22" s="22" t="n">
        <f aca="false">SUM(O18:O21)</f>
        <v>41600</v>
      </c>
      <c r="P22" s="4"/>
      <c r="Q22" s="4"/>
      <c r="R22" s="22" t="n">
        <f aca="false">SUM(R18:R21)</f>
        <v>9081858.79365625</v>
      </c>
      <c r="S22" s="22" t="n">
        <f aca="false">SUM(S18:S21)</f>
        <v>90818.5879365625</v>
      </c>
      <c r="T22" s="23" t="n">
        <f aca="false">AVERAGE(T18:T21)</f>
        <v>0.287456354157758</v>
      </c>
      <c r="U22" s="23" t="n">
        <f aca="false">AVERAGE(U18:U21)</f>
        <v>0.356164755618026</v>
      </c>
      <c r="V22" s="23" t="n">
        <f aca="false">AVERAGE(V18:V21)</f>
        <v>0.401970356591538</v>
      </c>
    </row>
    <row r="23" customFormat="false" ht="15.75" hidden="false" customHeight="true" outlineLevel="0" collapsed="false">
      <c r="A23" s="5" t="s">
        <v>111</v>
      </c>
      <c r="B23" s="22" t="n">
        <f aca="false">S22</f>
        <v>90818.5879365625</v>
      </c>
    </row>
    <row r="24" customFormat="false" ht="15.75" hidden="false" customHeight="true" outlineLevel="0" collapsed="false">
      <c r="A24" s="5" t="s">
        <v>112</v>
      </c>
      <c r="B24" s="6" t="n">
        <f aca="false">B23*Premissas!$B$15</f>
        <v>9081858.79365625</v>
      </c>
    </row>
    <row r="25" customFormat="false" ht="15.75" hidden="false" customHeight="true" outlineLevel="0" collapsed="false">
      <c r="A25" s="5" t="s">
        <v>113</v>
      </c>
      <c r="B25" s="22" t="n">
        <f aca="false">B23*Premissas!$B$16</f>
        <v>6084845.39174969</v>
      </c>
      <c r="C25" s="2" t="s">
        <v>114</v>
      </c>
    </row>
    <row r="26" customFormat="false" ht="15.75" hidden="false" customHeight="true" outlineLevel="0" collapsed="false">
      <c r="A26" s="5" t="s">
        <v>115</v>
      </c>
      <c r="B26" s="7" t="n">
        <f aca="false">K22/B23</f>
        <v>1.42465902247211</v>
      </c>
    </row>
    <row r="27" customFormat="false" ht="15.75" hidden="false" customHeight="true" outlineLevel="0" collapsed="false">
      <c r="A27" s="5" t="s">
        <v>116</v>
      </c>
      <c r="B27" s="6" t="n">
        <f aca="false">M22</f>
        <v>104425.520712</v>
      </c>
      <c r="C27" s="2" t="s">
        <v>117</v>
      </c>
      <c r="D27" s="6" t="n">
        <f aca="false">Premissas!$B$28</f>
        <v>41600</v>
      </c>
      <c r="E27" s="2" t="s">
        <v>118</v>
      </c>
      <c r="F27" s="22" t="n">
        <f aca="false">B27+D27</f>
        <v>146025.520712</v>
      </c>
    </row>
    <row r="28" customFormat="false" ht="15.75" hidden="false" customHeight="true" outlineLevel="0" collapsed="false"/>
    <row r="29" customFormat="false" ht="15.75" hidden="false" customHeight="true" outlineLevel="0" collapsed="false">
      <c r="A29" s="3" t="s">
        <v>119</v>
      </c>
      <c r="B29" s="3" t="s">
        <v>120</v>
      </c>
      <c r="C29" s="3"/>
      <c r="D29" s="3"/>
      <c r="E29" s="3"/>
      <c r="F29" s="3"/>
      <c r="G29" s="3"/>
      <c r="H29" s="3"/>
    </row>
    <row r="30" customFormat="false" ht="15.75" hidden="false" customHeight="true" outlineLevel="0" collapsed="false">
      <c r="A30" s="3" t="s">
        <v>90</v>
      </c>
      <c r="B30" s="3" t="s">
        <v>91</v>
      </c>
      <c r="C30" s="3" t="s">
        <v>92</v>
      </c>
      <c r="D30" s="3" t="s">
        <v>93</v>
      </c>
      <c r="E30" s="3" t="s">
        <v>94</v>
      </c>
      <c r="F30" s="3" t="s">
        <v>95</v>
      </c>
      <c r="G30" s="3" t="s">
        <v>96</v>
      </c>
      <c r="H30" s="3" t="s">
        <v>97</v>
      </c>
      <c r="I30" s="3" t="s">
        <v>70</v>
      </c>
      <c r="J30" s="3" t="s">
        <v>71</v>
      </c>
      <c r="K30" s="3" t="s">
        <v>98</v>
      </c>
      <c r="L30" s="3" t="s">
        <v>99</v>
      </c>
      <c r="M30" s="3" t="s">
        <v>100</v>
      </c>
      <c r="N30" s="3" t="s">
        <v>101</v>
      </c>
      <c r="O30" s="3" t="s">
        <v>102</v>
      </c>
      <c r="P30" s="3" t="s">
        <v>103</v>
      </c>
      <c r="Q30" s="3" t="s">
        <v>104</v>
      </c>
      <c r="R30" s="3" t="s">
        <v>105</v>
      </c>
      <c r="S30" s="3" t="s">
        <v>106</v>
      </c>
      <c r="T30" s="3" t="s">
        <v>107</v>
      </c>
      <c r="U30" s="3" t="s">
        <v>108</v>
      </c>
      <c r="V30" s="3" t="s">
        <v>109</v>
      </c>
    </row>
    <row r="31" customFormat="false" ht="15.75" hidden="false" customHeight="true" outlineLevel="0" collapsed="false">
      <c r="A31" s="7" t="n">
        <v>2027</v>
      </c>
      <c r="B31" s="7" t="n">
        <f aca="false">IF(A31=2027,Premissas!$B$13,Premissas!$B$14)</f>
        <v>6</v>
      </c>
      <c r="C31" s="8" t="n">
        <f aca="false">Premissas!B34</f>
        <v>0.38</v>
      </c>
      <c r="D31" s="7" t="n">
        <f aca="false">(1+Premissas!$B$11)^(A31-2027)</f>
        <v>1</v>
      </c>
      <c r="E31" s="11" t="n">
        <f aca="false">Premissas!$B$6*D31</f>
        <v>7333</v>
      </c>
      <c r="F31" s="11" t="n">
        <f aca="false">Premissas!$B$7*D31</f>
        <v>2000</v>
      </c>
      <c r="G31" s="11" t="n">
        <f aca="false">E31*Premissas!$B$8+F31</f>
        <v>23999</v>
      </c>
      <c r="H31" s="11" t="n">
        <f aca="false">IF(B31=Premissas!$B$13,Premissas!$B$18,Premissas!$B$19)*D31</f>
        <v>17279280</v>
      </c>
      <c r="I31" s="11" t="n">
        <f aca="false">H31*C31</f>
        <v>6566126.4</v>
      </c>
      <c r="J31" s="11" t="n">
        <f aca="false">I31*Premissas!$B$12</f>
        <v>984918.96</v>
      </c>
      <c r="K31" s="11" t="n">
        <f aca="false">J31/Premissas!$B$15</f>
        <v>9849.1896</v>
      </c>
      <c r="L31" s="11" t="n">
        <f aca="false">Premissas!$B$25</f>
        <v>6240</v>
      </c>
      <c r="M31" s="11" t="n">
        <f aca="false">K31-L31</f>
        <v>3609.1896</v>
      </c>
      <c r="N31" s="11" t="n">
        <f aca="false">Premissas!$B$25</f>
        <v>6240</v>
      </c>
      <c r="O31" s="11" t="n">
        <f aca="false">Premissas!$B$27</f>
        <v>10400</v>
      </c>
      <c r="P31" s="20" t="n">
        <f aca="false">0.5+(A31-2027)</f>
        <v>0.5</v>
      </c>
      <c r="Q31" s="21" t="n">
        <f aca="false">(1+Ke_WACC!$B$14)^P31</f>
        <v>1.07869087323477</v>
      </c>
      <c r="R31" s="11" t="n">
        <f aca="false">J31/Q31</f>
        <v>913068.780350786</v>
      </c>
      <c r="S31" s="11" t="n">
        <f aca="false">K31/Q31</f>
        <v>9130.68780350786</v>
      </c>
      <c r="T31" s="8" t="n">
        <f aca="false">M31/$B36</f>
        <v>0.034222017580722</v>
      </c>
      <c r="U31" s="8" t="n">
        <f aca="false">(M31+N31)/$B36</f>
        <v>0.0933891474271855</v>
      </c>
      <c r="V31" s="8" t="n">
        <f aca="false">(M31+O31)/$B36</f>
        <v>0.132833900658161</v>
      </c>
    </row>
    <row r="32" customFormat="false" ht="15.75" hidden="false" customHeight="true" outlineLevel="0" collapsed="false">
      <c r="A32" s="7" t="n">
        <v>2028</v>
      </c>
      <c r="B32" s="7" t="n">
        <f aca="false">IF(A32=2027,Premissas!$B$13,Premissas!$B$14)</f>
        <v>20</v>
      </c>
      <c r="C32" s="8" t="n">
        <f aca="false">Premissas!C34</f>
        <v>0.4</v>
      </c>
      <c r="D32" s="7" t="n">
        <f aca="false">(1+Premissas!$B$11)^(A32-2027)</f>
        <v>1.1</v>
      </c>
      <c r="E32" s="11" t="n">
        <f aca="false">Premissas!$B$6*D32</f>
        <v>8066.3</v>
      </c>
      <c r="F32" s="11" t="n">
        <f aca="false">Premissas!$B$7*D32</f>
        <v>2200</v>
      </c>
      <c r="G32" s="11" t="n">
        <f aca="false">E32*Premissas!$B$8+F32</f>
        <v>26398.9</v>
      </c>
      <c r="H32" s="11" t="n">
        <f aca="false">IF(B32=Premissas!$B$13,Premissas!$B$18,Premissas!$B$19)*D32</f>
        <v>63357360</v>
      </c>
      <c r="I32" s="11" t="n">
        <f aca="false">H32*C32</f>
        <v>25342944</v>
      </c>
      <c r="J32" s="11" t="n">
        <f aca="false">I32*Premissas!$B$12</f>
        <v>3801441.6</v>
      </c>
      <c r="K32" s="11" t="n">
        <f aca="false">J32/Premissas!$B$15</f>
        <v>38014.416</v>
      </c>
      <c r="L32" s="11" t="n">
        <f aca="false">Premissas!$B$25</f>
        <v>6240</v>
      </c>
      <c r="M32" s="11" t="n">
        <f aca="false">K32-L32</f>
        <v>31774.416</v>
      </c>
      <c r="N32" s="11" t="n">
        <f aca="false">Premissas!$B$25</f>
        <v>6240</v>
      </c>
      <c r="O32" s="11" t="n">
        <f aca="false">Premissas!$B$27</f>
        <v>10400</v>
      </c>
      <c r="P32" s="20" t="n">
        <f aca="false">0.5+(A32-2027)</f>
        <v>1.5</v>
      </c>
      <c r="Q32" s="21" t="n">
        <f aca="false">(1+Ke_WACC!$B$14)^P32</f>
        <v>1.25513665413328</v>
      </c>
      <c r="R32" s="11" t="n">
        <f aca="false">J32/Q32</f>
        <v>3028707.34232923</v>
      </c>
      <c r="S32" s="11" t="n">
        <f aca="false">K32/Q32</f>
        <v>30287.0734232923</v>
      </c>
      <c r="T32" s="8" t="n">
        <f aca="false">M32/$B36</f>
        <v>0.301282211100568</v>
      </c>
      <c r="U32" s="8" t="n">
        <f aca="false">(M32+N32)/$B36</f>
        <v>0.360449340947032</v>
      </c>
      <c r="V32" s="8" t="n">
        <f aca="false">(M32+O32)/$B36</f>
        <v>0.399894094178007</v>
      </c>
    </row>
    <row r="33" customFormat="false" ht="15.75" hidden="false" customHeight="true" outlineLevel="0" collapsed="false">
      <c r="A33" s="7" t="n">
        <v>2029</v>
      </c>
      <c r="B33" s="7" t="n">
        <f aca="false">IF(A33=2027,Premissas!$B$13,Premissas!$B$14)</f>
        <v>20</v>
      </c>
      <c r="C33" s="8" t="n">
        <f aca="false">Premissas!D34</f>
        <v>0.45</v>
      </c>
      <c r="D33" s="7" t="n">
        <f aca="false">(1+Premissas!$B$11)^(A33-2027)</f>
        <v>1.21</v>
      </c>
      <c r="E33" s="11" t="n">
        <f aca="false">Premissas!$B$6*D33</f>
        <v>8872.93</v>
      </c>
      <c r="F33" s="11" t="n">
        <f aca="false">Premissas!$B$7*D33</f>
        <v>2420</v>
      </c>
      <c r="G33" s="11" t="n">
        <f aca="false">E33*Premissas!$B$8+F33</f>
        <v>29038.79</v>
      </c>
      <c r="H33" s="11" t="n">
        <f aca="false">IF(B33=Premissas!$B$13,Premissas!$B$18,Premissas!$B$19)*D33</f>
        <v>69693096</v>
      </c>
      <c r="I33" s="11" t="n">
        <f aca="false">H33*C33</f>
        <v>31361893.2</v>
      </c>
      <c r="J33" s="11" t="n">
        <f aca="false">I33*Premissas!$B$12</f>
        <v>4704283.98</v>
      </c>
      <c r="K33" s="11" t="n">
        <f aca="false">J33/Premissas!$B$15</f>
        <v>47042.8398</v>
      </c>
      <c r="L33" s="11" t="n">
        <f aca="false">Premissas!$B$25</f>
        <v>6240</v>
      </c>
      <c r="M33" s="11" t="n">
        <f aca="false">K33-L33</f>
        <v>40802.8398</v>
      </c>
      <c r="N33" s="11" t="n">
        <f aca="false">Premissas!$B$25</f>
        <v>6240</v>
      </c>
      <c r="O33" s="11" t="n">
        <f aca="false">Premissas!$B$27</f>
        <v>10400</v>
      </c>
      <c r="P33" s="20" t="n">
        <f aca="false">0.5+(A33-2027)</f>
        <v>2.5</v>
      </c>
      <c r="Q33" s="21" t="n">
        <f aca="false">(1+Ke_WACC!$B$14)^P33</f>
        <v>1.46044437719648</v>
      </c>
      <c r="R33" s="11" t="n">
        <f aca="false">J33/Q33</f>
        <v>3221131.90577687</v>
      </c>
      <c r="S33" s="11" t="n">
        <f aca="false">K33/Q33</f>
        <v>32211.3190577687</v>
      </c>
      <c r="T33" s="8" t="n">
        <f aca="false">M33/$B36</f>
        <v>0.386888929575488</v>
      </c>
      <c r="U33" s="8" t="n">
        <f aca="false">(M33+N33)/$B36</f>
        <v>0.446056059421952</v>
      </c>
      <c r="V33" s="8" t="n">
        <f aca="false">(M33+O33)/$B36</f>
        <v>0.485500812652927</v>
      </c>
    </row>
    <row r="34" customFormat="false" ht="15.75" hidden="false" customHeight="true" outlineLevel="0" collapsed="false">
      <c r="A34" s="7" t="n">
        <v>2030</v>
      </c>
      <c r="B34" s="7" t="n">
        <f aca="false">IF(A34=2027,Premissas!$B$13,Premissas!$B$14)</f>
        <v>20</v>
      </c>
      <c r="C34" s="8" t="n">
        <f aca="false">Premissas!E34</f>
        <v>0.5</v>
      </c>
      <c r="D34" s="7" t="n">
        <f aca="false">(1+Premissas!$B$11)^(A34-2027)</f>
        <v>1.331</v>
      </c>
      <c r="E34" s="11" t="n">
        <f aca="false">Premissas!$B$6*D34</f>
        <v>9760.223</v>
      </c>
      <c r="F34" s="11" t="n">
        <f aca="false">Premissas!$B$7*D34</f>
        <v>2662</v>
      </c>
      <c r="G34" s="11" t="n">
        <f aca="false">E34*Premissas!$B$8+F34</f>
        <v>31942.669</v>
      </c>
      <c r="H34" s="11" t="n">
        <f aca="false">IF(B34=Premissas!$B$13,Premissas!$B$18,Premissas!$B$19)*D34</f>
        <v>76662405.6</v>
      </c>
      <c r="I34" s="11" t="n">
        <f aca="false">H34*C34</f>
        <v>38331202.8</v>
      </c>
      <c r="J34" s="11" t="n">
        <f aca="false">I34*Premissas!$B$12</f>
        <v>5749680.42</v>
      </c>
      <c r="K34" s="11" t="n">
        <f aca="false">J34/Premissas!$B$15</f>
        <v>57496.8042</v>
      </c>
      <c r="L34" s="11" t="n">
        <f aca="false">Premissas!$B$25</f>
        <v>6240</v>
      </c>
      <c r="M34" s="11" t="n">
        <f aca="false">K34-L34</f>
        <v>51256.8042</v>
      </c>
      <c r="N34" s="11" t="n">
        <f aca="false">Premissas!$B$25</f>
        <v>6240</v>
      </c>
      <c r="O34" s="11" t="n">
        <f aca="false">Premissas!$B$27</f>
        <v>10400</v>
      </c>
      <c r="P34" s="20" t="n">
        <f aca="false">0.5+(A34-2027)</f>
        <v>3.5</v>
      </c>
      <c r="Q34" s="21" t="n">
        <f aca="false">(1+Ke_WACC!$B$14)^P34</f>
        <v>1.69933510575201</v>
      </c>
      <c r="R34" s="11" t="n">
        <f aca="false">J34/Q34</f>
        <v>3383488.2834693</v>
      </c>
      <c r="S34" s="11" t="n">
        <f aca="false">K34/Q34</f>
        <v>33834.882834693</v>
      </c>
      <c r="T34" s="8" t="n">
        <f aca="false">M34/$B36</f>
        <v>0.486012498335922</v>
      </c>
      <c r="U34" s="8" t="n">
        <f aca="false">(M34+N34)/$B36</f>
        <v>0.545179628182386</v>
      </c>
      <c r="V34" s="8" t="n">
        <f aca="false">(M34+O34)/$B36</f>
        <v>0.584624381413361</v>
      </c>
    </row>
    <row r="35" customFormat="false" ht="15.75" hidden="false" customHeight="true" outlineLevel="0" collapsed="false">
      <c r="A35" s="4" t="s">
        <v>110</v>
      </c>
      <c r="B35" s="4"/>
      <c r="C35" s="4"/>
      <c r="D35" s="4"/>
      <c r="E35" s="4"/>
      <c r="F35" s="4"/>
      <c r="G35" s="4"/>
      <c r="H35" s="4"/>
      <c r="I35" s="22" t="n">
        <f aca="false">SUM(I31:I34)</f>
        <v>101602166.4</v>
      </c>
      <c r="J35" s="22" t="n">
        <f aca="false">SUM(J31:J34)</f>
        <v>15240324.96</v>
      </c>
      <c r="K35" s="22" t="n">
        <f aca="false">SUM(K31:K34)</f>
        <v>152403.2496</v>
      </c>
      <c r="L35" s="22" t="n">
        <f aca="false">SUM(L31:L34)</f>
        <v>24960</v>
      </c>
      <c r="M35" s="22" t="n">
        <f aca="false">SUM(M31:M34)</f>
        <v>127443.2496</v>
      </c>
      <c r="N35" s="22" t="n">
        <f aca="false">SUM(N31:N34)</f>
        <v>24960</v>
      </c>
      <c r="O35" s="22" t="n">
        <f aca="false">SUM(O31:O34)</f>
        <v>41600</v>
      </c>
      <c r="P35" s="4"/>
      <c r="Q35" s="4"/>
      <c r="R35" s="22" t="n">
        <f aca="false">SUM(R31:R34)</f>
        <v>10546396.3119262</v>
      </c>
      <c r="S35" s="22" t="n">
        <f aca="false">SUM(S31:S34)</f>
        <v>105463.963119262</v>
      </c>
      <c r="T35" s="23" t="n">
        <f aca="false">AVERAGE(T31:T34)</f>
        <v>0.302101414148175</v>
      </c>
      <c r="U35" s="23" t="n">
        <f aca="false">AVERAGE(U31:U34)</f>
        <v>0.361268543994639</v>
      </c>
      <c r="V35" s="23" t="n">
        <f aca="false">AVERAGE(V31:V34)</f>
        <v>0.400713297225614</v>
      </c>
    </row>
    <row r="36" customFormat="false" ht="15.75" hidden="false" customHeight="true" outlineLevel="0" collapsed="false">
      <c r="A36" s="5" t="s">
        <v>111</v>
      </c>
      <c r="B36" s="22" t="n">
        <f aca="false">S35</f>
        <v>105463.963119262</v>
      </c>
    </row>
    <row r="37" customFormat="false" ht="15.75" hidden="false" customHeight="true" outlineLevel="0" collapsed="false">
      <c r="A37" s="5" t="s">
        <v>112</v>
      </c>
      <c r="B37" s="6" t="n">
        <f aca="false">B36*Premissas!$B$15</f>
        <v>10546396.3119262</v>
      </c>
    </row>
    <row r="38" customFormat="false" ht="15.75" hidden="false" customHeight="true" outlineLevel="0" collapsed="false">
      <c r="A38" s="5" t="s">
        <v>113</v>
      </c>
      <c r="B38" s="22" t="n">
        <f aca="false">B36*Premissas!$B$16</f>
        <v>7066085.52899055</v>
      </c>
      <c r="C38" s="2" t="s">
        <v>114</v>
      </c>
    </row>
    <row r="39" customFormat="false" ht="15.75" hidden="false" customHeight="true" outlineLevel="0" collapsed="false">
      <c r="A39" s="5" t="s">
        <v>115</v>
      </c>
      <c r="B39" s="7" t="n">
        <f aca="false">K35/B36</f>
        <v>1.44507417597855</v>
      </c>
    </row>
    <row r="40" customFormat="false" ht="15.75" hidden="false" customHeight="true" outlineLevel="0" collapsed="false">
      <c r="A40" s="5" t="s">
        <v>116</v>
      </c>
      <c r="B40" s="6" t="n">
        <f aca="false">M35</f>
        <v>127443.2496</v>
      </c>
      <c r="C40" s="2" t="s">
        <v>117</v>
      </c>
      <c r="D40" s="6" t="n">
        <f aca="false">Premissas!$B$28</f>
        <v>41600</v>
      </c>
      <c r="E40" s="2" t="s">
        <v>118</v>
      </c>
      <c r="F40" s="22" t="n">
        <f aca="false">B40+D40</f>
        <v>169043.2496</v>
      </c>
    </row>
    <row r="41" customFormat="false" ht="15.75" hidden="false" customHeight="true" outlineLevel="0" collapsed="false"/>
    <row r="42" customFormat="false" ht="15.75" hidden="false" customHeight="true" outlineLevel="0" collapsed="false">
      <c r="A42" s="3" t="s">
        <v>121</v>
      </c>
      <c r="B42" s="3" t="s">
        <v>122</v>
      </c>
      <c r="C42" s="3"/>
      <c r="D42" s="3"/>
      <c r="E42" s="3"/>
      <c r="F42" s="3"/>
      <c r="G42" s="3"/>
      <c r="H42" s="3"/>
    </row>
    <row r="43" customFormat="false" ht="15.75" hidden="false" customHeight="true" outlineLevel="0" collapsed="false">
      <c r="A43" s="3" t="s">
        <v>90</v>
      </c>
      <c r="B43" s="3" t="s">
        <v>91</v>
      </c>
      <c r="C43" s="3" t="s">
        <v>92</v>
      </c>
      <c r="D43" s="3" t="s">
        <v>93</v>
      </c>
      <c r="E43" s="3" t="s">
        <v>94</v>
      </c>
      <c r="F43" s="3" t="s">
        <v>95</v>
      </c>
      <c r="G43" s="3" t="s">
        <v>96</v>
      </c>
      <c r="H43" s="3" t="s">
        <v>97</v>
      </c>
      <c r="I43" s="3" t="s">
        <v>70</v>
      </c>
      <c r="J43" s="3" t="s">
        <v>71</v>
      </c>
      <c r="K43" s="3" t="s">
        <v>98</v>
      </c>
      <c r="L43" s="3" t="s">
        <v>99</v>
      </c>
      <c r="M43" s="3" t="s">
        <v>100</v>
      </c>
      <c r="N43" s="3" t="s">
        <v>101</v>
      </c>
      <c r="O43" s="3" t="s">
        <v>102</v>
      </c>
      <c r="P43" s="3" t="s">
        <v>103</v>
      </c>
      <c r="Q43" s="3" t="s">
        <v>104</v>
      </c>
      <c r="R43" s="3" t="s">
        <v>105</v>
      </c>
      <c r="S43" s="3" t="s">
        <v>106</v>
      </c>
      <c r="T43" s="3" t="s">
        <v>107</v>
      </c>
      <c r="U43" s="3" t="s">
        <v>108</v>
      </c>
      <c r="V43" s="3" t="s">
        <v>109</v>
      </c>
    </row>
    <row r="44" customFormat="false" ht="15.75" hidden="false" customHeight="true" outlineLevel="0" collapsed="false">
      <c r="A44" s="7" t="n">
        <v>2027</v>
      </c>
      <c r="B44" s="7" t="n">
        <f aca="false">IF(A44=2027,Premissas!$B$13,Premissas!$B$14)</f>
        <v>6</v>
      </c>
      <c r="C44" s="8" t="n">
        <f aca="false">Premissas!B35</f>
        <v>0.38</v>
      </c>
      <c r="D44" s="7" t="n">
        <f aca="false">(1+Premissas!$B$11)^(A44-2027)</f>
        <v>1</v>
      </c>
      <c r="E44" s="11" t="n">
        <f aca="false">Premissas!$B$6*D44</f>
        <v>7333</v>
      </c>
      <c r="F44" s="11" t="n">
        <f aca="false">Premissas!$B$7*D44</f>
        <v>2000</v>
      </c>
      <c r="G44" s="11" t="n">
        <f aca="false">E44*Premissas!$B$8+F44</f>
        <v>23999</v>
      </c>
      <c r="H44" s="11" t="n">
        <f aca="false">IF(B44=Premissas!$B$13,Premissas!$B$18,Premissas!$B$19)*D44</f>
        <v>17279280</v>
      </c>
      <c r="I44" s="11" t="n">
        <f aca="false">H44*C44</f>
        <v>6566126.4</v>
      </c>
      <c r="J44" s="11" t="n">
        <f aca="false">I44*Premissas!$B$12</f>
        <v>984918.96</v>
      </c>
      <c r="K44" s="11" t="n">
        <f aca="false">J44/Premissas!$B$15</f>
        <v>9849.1896</v>
      </c>
      <c r="L44" s="11" t="n">
        <f aca="false">Premissas!$B$25</f>
        <v>6240</v>
      </c>
      <c r="M44" s="11" t="n">
        <f aca="false">K44-L44</f>
        <v>3609.1896</v>
      </c>
      <c r="N44" s="11" t="n">
        <f aca="false">Premissas!$B$25</f>
        <v>6240</v>
      </c>
      <c r="O44" s="11" t="n">
        <f aca="false">Premissas!$B$27</f>
        <v>10400</v>
      </c>
      <c r="P44" s="20" t="n">
        <f aca="false">0.5+(A44-2027)</f>
        <v>0.5</v>
      </c>
      <c r="Q44" s="21" t="n">
        <f aca="false">(1+Ke_WACC!$B$14)^P44</f>
        <v>1.07869087323477</v>
      </c>
      <c r="R44" s="11" t="n">
        <f aca="false">J44/Q44</f>
        <v>913068.780350786</v>
      </c>
      <c r="S44" s="11" t="n">
        <f aca="false">K44/Q44</f>
        <v>9130.68780350786</v>
      </c>
      <c r="T44" s="8" t="n">
        <f aca="false">M44/$B49</f>
        <v>0.0309496789741207</v>
      </c>
      <c r="U44" s="8" t="n">
        <f aca="false">(M44+N44)/$B49</f>
        <v>0.0844591972323227</v>
      </c>
      <c r="V44" s="8" t="n">
        <f aca="false">(M44+O44)/$B49</f>
        <v>0.120132209404457</v>
      </c>
    </row>
    <row r="45" customFormat="false" ht="15.75" hidden="false" customHeight="true" outlineLevel="0" collapsed="false">
      <c r="A45" s="7" t="n">
        <v>2028</v>
      </c>
      <c r="B45" s="7" t="n">
        <f aca="false">IF(A45=2027,Premissas!$B$13,Premissas!$B$14)</f>
        <v>20</v>
      </c>
      <c r="C45" s="8" t="n">
        <f aca="false">Premissas!C35</f>
        <v>0.5</v>
      </c>
      <c r="D45" s="7" t="n">
        <f aca="false">(1+Premissas!$B$11)^(A45-2027)</f>
        <v>1.1</v>
      </c>
      <c r="E45" s="11" t="n">
        <f aca="false">Premissas!$B$6*D45</f>
        <v>8066.3</v>
      </c>
      <c r="F45" s="11" t="n">
        <f aca="false">Premissas!$B$7*D45</f>
        <v>2200</v>
      </c>
      <c r="G45" s="11" t="n">
        <f aca="false">E45*Premissas!$B$8+F45</f>
        <v>26398.9</v>
      </c>
      <c r="H45" s="11" t="n">
        <f aca="false">IF(B45=Premissas!$B$13,Premissas!$B$18,Premissas!$B$19)*D45</f>
        <v>63357360</v>
      </c>
      <c r="I45" s="11" t="n">
        <f aca="false">H45*C45</f>
        <v>31678680</v>
      </c>
      <c r="J45" s="11" t="n">
        <f aca="false">I45*Premissas!$B$12</f>
        <v>4751802</v>
      </c>
      <c r="K45" s="11" t="n">
        <f aca="false">J45/Premissas!$B$15</f>
        <v>47518.02</v>
      </c>
      <c r="L45" s="11" t="n">
        <f aca="false">Premissas!$B$25</f>
        <v>6240</v>
      </c>
      <c r="M45" s="11" t="n">
        <f aca="false">K45-L45</f>
        <v>41278.02</v>
      </c>
      <c r="N45" s="11" t="n">
        <f aca="false">Premissas!$B$25</f>
        <v>6240</v>
      </c>
      <c r="O45" s="11" t="n">
        <f aca="false">Premissas!$B$27</f>
        <v>10400</v>
      </c>
      <c r="P45" s="20" t="n">
        <f aca="false">0.5+(A45-2027)</f>
        <v>1.5</v>
      </c>
      <c r="Q45" s="21" t="n">
        <f aca="false">(1+Ke_WACC!$B$14)^P45</f>
        <v>1.25513665413328</v>
      </c>
      <c r="R45" s="11" t="n">
        <f aca="false">J45/Q45</f>
        <v>3785884.17791153</v>
      </c>
      <c r="S45" s="11" t="n">
        <f aca="false">K45/Q45</f>
        <v>37858.8417791153</v>
      </c>
      <c r="T45" s="8" t="n">
        <f aca="false">M45/$B49</f>
        <v>0.353969064880197</v>
      </c>
      <c r="U45" s="8" t="n">
        <f aca="false">(M45+N45)/$B49</f>
        <v>0.407478583138399</v>
      </c>
      <c r="V45" s="8" t="n">
        <f aca="false">(M45+O45)/$B49</f>
        <v>0.443151595310534</v>
      </c>
    </row>
    <row r="46" customFormat="false" ht="15.75" hidden="false" customHeight="true" outlineLevel="0" collapsed="false">
      <c r="A46" s="7" t="n">
        <v>2029</v>
      </c>
      <c r="B46" s="7" t="n">
        <f aca="false">IF(A46=2027,Premissas!$B$13,Premissas!$B$14)</f>
        <v>20</v>
      </c>
      <c r="C46" s="8" t="n">
        <f aca="false">Premissas!D35</f>
        <v>0.5</v>
      </c>
      <c r="D46" s="7" t="n">
        <f aca="false">(1+Premissas!$B$11)^(A46-2027)</f>
        <v>1.21</v>
      </c>
      <c r="E46" s="11" t="n">
        <f aca="false">Premissas!$B$6*D46</f>
        <v>8872.93</v>
      </c>
      <c r="F46" s="11" t="n">
        <f aca="false">Premissas!$B$7*D46</f>
        <v>2420</v>
      </c>
      <c r="G46" s="11" t="n">
        <f aca="false">E46*Premissas!$B$8+F46</f>
        <v>29038.79</v>
      </c>
      <c r="H46" s="11" t="n">
        <f aca="false">IF(B46=Premissas!$B$13,Premissas!$B$18,Premissas!$B$19)*D46</f>
        <v>69693096</v>
      </c>
      <c r="I46" s="11" t="n">
        <f aca="false">H46*C46</f>
        <v>34846548</v>
      </c>
      <c r="J46" s="11" t="n">
        <f aca="false">I46*Premissas!$B$12</f>
        <v>5226982.2</v>
      </c>
      <c r="K46" s="11" t="n">
        <f aca="false">J46/Premissas!$B$15</f>
        <v>52269.822</v>
      </c>
      <c r="L46" s="11" t="n">
        <f aca="false">Premissas!$B$25</f>
        <v>6240</v>
      </c>
      <c r="M46" s="11" t="n">
        <f aca="false">K46-L46</f>
        <v>46029.822</v>
      </c>
      <c r="N46" s="11" t="n">
        <f aca="false">Premissas!$B$25</f>
        <v>6240</v>
      </c>
      <c r="O46" s="11" t="n">
        <f aca="false">Premissas!$B$27</f>
        <v>10400</v>
      </c>
      <c r="P46" s="20" t="n">
        <f aca="false">0.5+(A46-2027)</f>
        <v>2.5</v>
      </c>
      <c r="Q46" s="21" t="n">
        <f aca="false">(1+Ke_WACC!$B$14)^P46</f>
        <v>1.46044437719648</v>
      </c>
      <c r="R46" s="11" t="n">
        <f aca="false">J46/Q46</f>
        <v>3579035.45086319</v>
      </c>
      <c r="S46" s="11" t="n">
        <f aca="false">K46/Q46</f>
        <v>35790.3545086319</v>
      </c>
      <c r="T46" s="8" t="n">
        <f aca="false">M46/$B49</f>
        <v>0.394716923194037</v>
      </c>
      <c r="U46" s="8" t="n">
        <f aca="false">(M46+N46)/$B49</f>
        <v>0.448226441452239</v>
      </c>
      <c r="V46" s="8" t="n">
        <f aca="false">(M46+O46)/$B49</f>
        <v>0.483899453624374</v>
      </c>
    </row>
    <row r="47" customFormat="false" ht="15.75" hidden="false" customHeight="true" outlineLevel="0" collapsed="false">
      <c r="A47" s="7" t="n">
        <v>2030</v>
      </c>
      <c r="B47" s="7" t="n">
        <f aca="false">IF(A47=2027,Premissas!$B$13,Premissas!$B$14)</f>
        <v>20</v>
      </c>
      <c r="C47" s="8" t="n">
        <f aca="false">Premissas!E35</f>
        <v>0.5</v>
      </c>
      <c r="D47" s="7" t="n">
        <f aca="false">(1+Premissas!$B$11)^(A47-2027)</f>
        <v>1.331</v>
      </c>
      <c r="E47" s="11" t="n">
        <f aca="false">Premissas!$B$6*D47</f>
        <v>9760.223</v>
      </c>
      <c r="F47" s="11" t="n">
        <f aca="false">Premissas!$B$7*D47</f>
        <v>2662</v>
      </c>
      <c r="G47" s="11" t="n">
        <f aca="false">E47*Premissas!$B$8+F47</f>
        <v>31942.669</v>
      </c>
      <c r="H47" s="11" t="n">
        <f aca="false">IF(B47=Premissas!$B$13,Premissas!$B$18,Premissas!$B$19)*D47</f>
        <v>76662405.6</v>
      </c>
      <c r="I47" s="11" t="n">
        <f aca="false">H47*C47</f>
        <v>38331202.8</v>
      </c>
      <c r="J47" s="11" t="n">
        <f aca="false">I47*Premissas!$B$12</f>
        <v>5749680.42</v>
      </c>
      <c r="K47" s="11" t="n">
        <f aca="false">J47/Premissas!$B$15</f>
        <v>57496.8042</v>
      </c>
      <c r="L47" s="11" t="n">
        <f aca="false">Premissas!$B$25</f>
        <v>6240</v>
      </c>
      <c r="M47" s="11" t="n">
        <f aca="false">K47-L47</f>
        <v>51256.8042</v>
      </c>
      <c r="N47" s="11" t="n">
        <f aca="false">Premissas!$B$25</f>
        <v>6240</v>
      </c>
      <c r="O47" s="11" t="n">
        <f aca="false">Premissas!$B$27</f>
        <v>10400</v>
      </c>
      <c r="P47" s="20" t="n">
        <f aca="false">0.5+(A47-2027)</f>
        <v>3.5</v>
      </c>
      <c r="Q47" s="21" t="n">
        <f aca="false">(1+Ke_WACC!$B$14)^P47</f>
        <v>1.69933510575201</v>
      </c>
      <c r="R47" s="11" t="n">
        <f aca="false">J47/Q47</f>
        <v>3383488.2834693</v>
      </c>
      <c r="S47" s="11" t="n">
        <f aca="false">K47/Q47</f>
        <v>33834.882834693</v>
      </c>
      <c r="T47" s="8" t="n">
        <f aca="false">M47/$B49</f>
        <v>0.439539567339261</v>
      </c>
      <c r="U47" s="8" t="n">
        <f aca="false">(M47+N47)/$B49</f>
        <v>0.493049085597463</v>
      </c>
      <c r="V47" s="8" t="n">
        <f aca="false">(M47+O47)/$B49</f>
        <v>0.528722097769598</v>
      </c>
    </row>
    <row r="48" customFormat="false" ht="15.75" hidden="false" customHeight="true" outlineLevel="0" collapsed="false">
      <c r="A48" s="4" t="s">
        <v>110</v>
      </c>
      <c r="B48" s="4"/>
      <c r="C48" s="4"/>
      <c r="D48" s="4"/>
      <c r="E48" s="4"/>
      <c r="F48" s="4"/>
      <c r="G48" s="4"/>
      <c r="H48" s="4"/>
      <c r="I48" s="22" t="n">
        <f aca="false">SUM(I44:I47)</f>
        <v>111422557.2</v>
      </c>
      <c r="J48" s="22" t="n">
        <f aca="false">SUM(J44:J47)</f>
        <v>16713383.58</v>
      </c>
      <c r="K48" s="22" t="n">
        <f aca="false">SUM(K44:K47)</f>
        <v>167133.8358</v>
      </c>
      <c r="L48" s="22" t="n">
        <f aca="false">SUM(L44:L47)</f>
        <v>24960</v>
      </c>
      <c r="M48" s="22" t="n">
        <f aca="false">SUM(M44:M47)</f>
        <v>142173.8358</v>
      </c>
      <c r="N48" s="22" t="n">
        <f aca="false">SUM(N44:N47)</f>
        <v>24960</v>
      </c>
      <c r="O48" s="22" t="n">
        <f aca="false">SUM(O44:O47)</f>
        <v>41600</v>
      </c>
      <c r="P48" s="4"/>
      <c r="Q48" s="4"/>
      <c r="R48" s="22" t="n">
        <f aca="false">SUM(R44:R47)</f>
        <v>11661476.6925948</v>
      </c>
      <c r="S48" s="22" t="n">
        <f aca="false">SUM(S44:S47)</f>
        <v>116614.766925948</v>
      </c>
      <c r="T48" s="23" t="n">
        <f aca="false">AVERAGE(T44:T47)</f>
        <v>0.304793808596904</v>
      </c>
      <c r="U48" s="23" t="n">
        <f aca="false">AVERAGE(U44:U47)</f>
        <v>0.358303326855106</v>
      </c>
      <c r="V48" s="23" t="n">
        <f aca="false">AVERAGE(V44:V47)</f>
        <v>0.393976339027241</v>
      </c>
    </row>
    <row r="49" customFormat="false" ht="15.75" hidden="false" customHeight="true" outlineLevel="0" collapsed="false">
      <c r="A49" s="5" t="s">
        <v>111</v>
      </c>
      <c r="B49" s="22" t="n">
        <f aca="false">S48</f>
        <v>116614.766925948</v>
      </c>
    </row>
    <row r="50" customFormat="false" ht="15.75" hidden="false" customHeight="true" outlineLevel="0" collapsed="false">
      <c r="A50" s="5" t="s">
        <v>112</v>
      </c>
      <c r="B50" s="6" t="n">
        <f aca="false">B49*Premissas!$B$15</f>
        <v>11661476.6925948</v>
      </c>
    </row>
    <row r="51" customFormat="false" ht="15.75" hidden="false" customHeight="true" outlineLevel="0" collapsed="false">
      <c r="A51" s="5" t="s">
        <v>113</v>
      </c>
      <c r="B51" s="22" t="n">
        <f aca="false">B49*Premissas!$B$16</f>
        <v>7813189.38403852</v>
      </c>
      <c r="C51" s="2" t="s">
        <v>114</v>
      </c>
    </row>
    <row r="52" customFormat="false" ht="15.75" hidden="false" customHeight="true" outlineLevel="0" collapsed="false">
      <c r="A52" s="5" t="s">
        <v>115</v>
      </c>
      <c r="B52" s="7" t="n">
        <f aca="false">K48/B49</f>
        <v>1.43321330742042</v>
      </c>
    </row>
    <row r="53" customFormat="false" ht="15.75" hidden="false" customHeight="true" outlineLevel="0" collapsed="false">
      <c r="A53" s="5" t="s">
        <v>116</v>
      </c>
      <c r="B53" s="6" t="n">
        <f aca="false">M48</f>
        <v>142173.8358</v>
      </c>
      <c r="C53" s="2" t="s">
        <v>117</v>
      </c>
      <c r="D53" s="6" t="n">
        <f aca="false">Premissas!$B$28</f>
        <v>41600</v>
      </c>
      <c r="E53" s="2" t="s">
        <v>118</v>
      </c>
      <c r="F53" s="22" t="n">
        <f aca="false">B53+D53</f>
        <v>183773.8358</v>
      </c>
    </row>
    <row r="54" customFormat="false" ht="15.75" hidden="false" customHeight="true" outlineLevel="0" collapsed="false"/>
    <row r="55" customFormat="false" ht="15.75" hidden="false" customHeight="true" outlineLevel="0" collapsed="false">
      <c r="A55" s="3" t="s">
        <v>123</v>
      </c>
      <c r="B55" s="3" t="s">
        <v>124</v>
      </c>
      <c r="C55" s="3"/>
      <c r="D55" s="3"/>
      <c r="E55" s="3"/>
      <c r="F55" s="3"/>
      <c r="G55" s="3"/>
      <c r="H55" s="3"/>
    </row>
    <row r="56" customFormat="false" ht="15.75" hidden="false" customHeight="true" outlineLevel="0" collapsed="false">
      <c r="A56" s="3" t="s">
        <v>90</v>
      </c>
      <c r="B56" s="3" t="s">
        <v>91</v>
      </c>
      <c r="C56" s="3" t="s">
        <v>92</v>
      </c>
      <c r="D56" s="3" t="s">
        <v>93</v>
      </c>
      <c r="E56" s="3" t="s">
        <v>94</v>
      </c>
      <c r="F56" s="3" t="s">
        <v>95</v>
      </c>
      <c r="G56" s="3" t="s">
        <v>96</v>
      </c>
      <c r="H56" s="3" t="s">
        <v>97</v>
      </c>
      <c r="I56" s="3" t="s">
        <v>70</v>
      </c>
      <c r="J56" s="3" t="s">
        <v>71</v>
      </c>
      <c r="K56" s="3" t="s">
        <v>98</v>
      </c>
      <c r="L56" s="3" t="s">
        <v>99</v>
      </c>
      <c r="M56" s="3" t="s">
        <v>100</v>
      </c>
      <c r="N56" s="3" t="s">
        <v>101</v>
      </c>
      <c r="O56" s="3" t="s">
        <v>102</v>
      </c>
      <c r="P56" s="3" t="s">
        <v>103</v>
      </c>
      <c r="Q56" s="3" t="s">
        <v>104</v>
      </c>
      <c r="R56" s="3" t="s">
        <v>105</v>
      </c>
      <c r="S56" s="3" t="s">
        <v>106</v>
      </c>
      <c r="T56" s="3" t="s">
        <v>107</v>
      </c>
      <c r="U56" s="3" t="s">
        <v>108</v>
      </c>
      <c r="V56" s="3" t="s">
        <v>109</v>
      </c>
    </row>
    <row r="57" customFormat="false" ht="15.75" hidden="false" customHeight="true" outlineLevel="0" collapsed="false">
      <c r="A57" s="7" t="n">
        <v>2027</v>
      </c>
      <c r="B57" s="7" t="n">
        <f aca="false">IF(A57=2027,Premissas!$B$13,Premissas!$B$14)</f>
        <v>6</v>
      </c>
      <c r="C57" s="8" t="n">
        <f aca="false">Premissas!B36</f>
        <v>0.38</v>
      </c>
      <c r="D57" s="7" t="n">
        <f aca="false">(1+Premissas!$B$11)^(A57-2027)</f>
        <v>1</v>
      </c>
      <c r="E57" s="11" t="n">
        <f aca="false">Premissas!$B$6*D57</f>
        <v>7333</v>
      </c>
      <c r="F57" s="11" t="n">
        <f aca="false">Premissas!$B$7*D57</f>
        <v>2000</v>
      </c>
      <c r="G57" s="11" t="n">
        <f aca="false">E57*Premissas!$B$8+F57</f>
        <v>23999</v>
      </c>
      <c r="H57" s="11" t="n">
        <f aca="false">IF(B57=Premissas!$B$13,Premissas!$B$18,Premissas!$B$19)*D57</f>
        <v>17279280</v>
      </c>
      <c r="I57" s="11" t="n">
        <f aca="false">H57*C57</f>
        <v>6566126.4</v>
      </c>
      <c r="J57" s="11" t="n">
        <f aca="false">I57*Premissas!$B$12</f>
        <v>984918.96</v>
      </c>
      <c r="K57" s="11" t="n">
        <f aca="false">J57/Premissas!$B$15</f>
        <v>9849.1896</v>
      </c>
      <c r="L57" s="11" t="n">
        <f aca="false">Premissas!$B$25</f>
        <v>6240</v>
      </c>
      <c r="M57" s="11" t="n">
        <f aca="false">K57-L57</f>
        <v>3609.1896</v>
      </c>
      <c r="N57" s="11" t="n">
        <f aca="false">Premissas!$B$25</f>
        <v>6240</v>
      </c>
      <c r="O57" s="11" t="n">
        <f aca="false">Premissas!$B$27</f>
        <v>10400</v>
      </c>
      <c r="P57" s="20" t="n">
        <f aca="false">0.5+(A57-2027)</f>
        <v>0.5</v>
      </c>
      <c r="Q57" s="21" t="n">
        <f aca="false">(1+Ke_WACC!$B$14)^P57</f>
        <v>1.07869087323477</v>
      </c>
      <c r="R57" s="11" t="n">
        <f aca="false">J57/Q57</f>
        <v>913068.780350786</v>
      </c>
      <c r="S57" s="11" t="n">
        <f aca="false">K57/Q57</f>
        <v>9130.68780350786</v>
      </c>
      <c r="T57" s="8" t="n">
        <f aca="false">M57/$B62</f>
        <v>0.0394682421682346</v>
      </c>
      <c r="U57" s="8" t="n">
        <f aca="false">(M57+N57)/$B62</f>
        <v>0.107705674507556</v>
      </c>
      <c r="V57" s="8" t="n">
        <f aca="false">(M57+O57)/$B62</f>
        <v>0.153197296067104</v>
      </c>
    </row>
    <row r="58" customFormat="false" ht="15.75" hidden="false" customHeight="true" outlineLevel="0" collapsed="false">
      <c r="A58" s="7" t="n">
        <v>2028</v>
      </c>
      <c r="B58" s="7" t="n">
        <f aca="false">IF(A58=2027,Premissas!$B$13,Premissas!$B$14)</f>
        <v>20</v>
      </c>
      <c r="C58" s="8" t="n">
        <f aca="false">Premissas!C36</f>
        <v>0.28</v>
      </c>
      <c r="D58" s="7" t="n">
        <f aca="false">(1+Premissas!$B$11)^(A58-2027)</f>
        <v>1.1</v>
      </c>
      <c r="E58" s="11" t="n">
        <f aca="false">Premissas!$B$6*D58</f>
        <v>8066.3</v>
      </c>
      <c r="F58" s="11" t="n">
        <f aca="false">Premissas!$B$7*D58</f>
        <v>2200</v>
      </c>
      <c r="G58" s="11" t="n">
        <f aca="false">E58*Premissas!$B$8+F58</f>
        <v>26398.9</v>
      </c>
      <c r="H58" s="11" t="n">
        <f aca="false">IF(B58=Premissas!$B$13,Premissas!$B$18,Premissas!$B$19)*D58</f>
        <v>63357360</v>
      </c>
      <c r="I58" s="11" t="n">
        <f aca="false">H58*C58</f>
        <v>17740060.8</v>
      </c>
      <c r="J58" s="11" t="n">
        <f aca="false">I58*Premissas!$B$12</f>
        <v>2661009.12</v>
      </c>
      <c r="K58" s="11" t="n">
        <f aca="false">J58/Premissas!$B$15</f>
        <v>26610.0912</v>
      </c>
      <c r="L58" s="11" t="n">
        <f aca="false">Premissas!$B$25</f>
        <v>6240</v>
      </c>
      <c r="M58" s="11" t="n">
        <f aca="false">K58-L58</f>
        <v>20370.0912</v>
      </c>
      <c r="N58" s="11" t="n">
        <f aca="false">Premissas!$B$25</f>
        <v>6240</v>
      </c>
      <c r="O58" s="11" t="n">
        <f aca="false">Premissas!$B$27</f>
        <v>10400</v>
      </c>
      <c r="P58" s="20" t="n">
        <f aca="false">0.5+(A58-2027)</f>
        <v>1.5</v>
      </c>
      <c r="Q58" s="21" t="n">
        <f aca="false">(1+Ke_WACC!$B$14)^P58</f>
        <v>1.25513665413328</v>
      </c>
      <c r="R58" s="11" t="n">
        <f aca="false">J58/Q58</f>
        <v>2120095.13963046</v>
      </c>
      <c r="S58" s="11" t="n">
        <f aca="false">K58/Q58</f>
        <v>21200.9513963046</v>
      </c>
      <c r="T58" s="8" t="n">
        <f aca="false">M58/$B62</f>
        <v>0.222756846154778</v>
      </c>
      <c r="U58" s="8" t="n">
        <f aca="false">(M58+N58)/$B62</f>
        <v>0.2909942784941</v>
      </c>
      <c r="V58" s="8" t="n">
        <f aca="false">(M58+O58)/$B62</f>
        <v>0.336485900053647</v>
      </c>
    </row>
    <row r="59" customFormat="false" ht="15.75" hidden="false" customHeight="true" outlineLevel="0" collapsed="false">
      <c r="A59" s="7" t="n">
        <v>2029</v>
      </c>
      <c r="B59" s="7" t="n">
        <f aca="false">IF(A59=2027,Premissas!$B$13,Premissas!$B$14)</f>
        <v>20</v>
      </c>
      <c r="C59" s="8" t="n">
        <f aca="false">Premissas!D36</f>
        <v>0.4</v>
      </c>
      <c r="D59" s="7" t="n">
        <f aca="false">(1+Premissas!$B$11)^(A59-2027)</f>
        <v>1.21</v>
      </c>
      <c r="E59" s="11" t="n">
        <f aca="false">Premissas!$B$6*D59</f>
        <v>8872.93</v>
      </c>
      <c r="F59" s="11" t="n">
        <f aca="false">Premissas!$B$7*D59</f>
        <v>2420</v>
      </c>
      <c r="G59" s="11" t="n">
        <f aca="false">E59*Premissas!$B$8+F59</f>
        <v>29038.79</v>
      </c>
      <c r="H59" s="11" t="n">
        <f aca="false">IF(B59=Premissas!$B$13,Premissas!$B$18,Premissas!$B$19)*D59</f>
        <v>69693096</v>
      </c>
      <c r="I59" s="11" t="n">
        <f aca="false">H59*C59</f>
        <v>27877238.4</v>
      </c>
      <c r="J59" s="11" t="n">
        <f aca="false">I59*Premissas!$B$12</f>
        <v>4181585.76</v>
      </c>
      <c r="K59" s="11" t="n">
        <f aca="false">J59/Premissas!$B$15</f>
        <v>41815.8576</v>
      </c>
      <c r="L59" s="11" t="n">
        <f aca="false">Premissas!$B$25</f>
        <v>6240</v>
      </c>
      <c r="M59" s="11" t="n">
        <f aca="false">K59-L59</f>
        <v>35575.8576</v>
      </c>
      <c r="N59" s="11" t="n">
        <f aca="false">Premissas!$B$25</f>
        <v>6240</v>
      </c>
      <c r="O59" s="11" t="n">
        <f aca="false">Premissas!$B$27</f>
        <v>10400</v>
      </c>
      <c r="P59" s="20" t="n">
        <f aca="false">0.5+(A59-2027)</f>
        <v>2.5</v>
      </c>
      <c r="Q59" s="21" t="n">
        <f aca="false">(1+Ke_WACC!$B$14)^P59</f>
        <v>1.46044437719648</v>
      </c>
      <c r="R59" s="11" t="n">
        <f aca="false">J59/Q59</f>
        <v>2863228.36069055</v>
      </c>
      <c r="S59" s="11" t="n">
        <f aca="false">K59/Q59</f>
        <v>28632.2836069055</v>
      </c>
      <c r="T59" s="8" t="n">
        <f aca="false">M59/$B62</f>
        <v>0.389039291008549</v>
      </c>
      <c r="U59" s="8" t="n">
        <f aca="false">(M59+N59)/$B62</f>
        <v>0.457276723347871</v>
      </c>
      <c r="V59" s="8" t="n">
        <f aca="false">(M59+O59)/$B62</f>
        <v>0.502768344907418</v>
      </c>
    </row>
    <row r="60" customFormat="false" ht="15.75" hidden="false" customHeight="true" outlineLevel="0" collapsed="false">
      <c r="A60" s="7" t="n">
        <v>2030</v>
      </c>
      <c r="B60" s="7" t="n">
        <f aca="false">IF(A60=2027,Premissas!$B$13,Premissas!$B$14)</f>
        <v>20</v>
      </c>
      <c r="C60" s="8" t="n">
        <f aca="false">Premissas!E36</f>
        <v>0.48</v>
      </c>
      <c r="D60" s="7" t="n">
        <f aca="false">(1+Premissas!$B$11)^(A60-2027)</f>
        <v>1.331</v>
      </c>
      <c r="E60" s="11" t="n">
        <f aca="false">Premissas!$B$6*D60</f>
        <v>9760.223</v>
      </c>
      <c r="F60" s="11" t="n">
        <f aca="false">Premissas!$B$7*D60</f>
        <v>2662</v>
      </c>
      <c r="G60" s="11" t="n">
        <f aca="false">E60*Premissas!$B$8+F60</f>
        <v>31942.669</v>
      </c>
      <c r="H60" s="11" t="n">
        <f aca="false">IF(B60=Premissas!$B$13,Premissas!$B$18,Premissas!$B$19)*D60</f>
        <v>76662405.6</v>
      </c>
      <c r="I60" s="11" t="n">
        <f aca="false">H60*C60</f>
        <v>36797954.688</v>
      </c>
      <c r="J60" s="11" t="n">
        <f aca="false">I60*Premissas!$B$12</f>
        <v>5519693.2032</v>
      </c>
      <c r="K60" s="11" t="n">
        <f aca="false">J60/Premissas!$B$15</f>
        <v>55196.932032</v>
      </c>
      <c r="L60" s="11" t="n">
        <f aca="false">Premissas!$B$25</f>
        <v>6240</v>
      </c>
      <c r="M60" s="11" t="n">
        <f aca="false">K60-L60</f>
        <v>48956.932032</v>
      </c>
      <c r="N60" s="11" t="n">
        <f aca="false">Premissas!$B$25</f>
        <v>6240</v>
      </c>
      <c r="O60" s="11" t="n">
        <f aca="false">Premissas!$B$27</f>
        <v>10400</v>
      </c>
      <c r="P60" s="20" t="n">
        <f aca="false">0.5+(A60-2027)</f>
        <v>3.5</v>
      </c>
      <c r="Q60" s="21" t="n">
        <f aca="false">(1+Ke_WACC!$B$14)^P60</f>
        <v>1.69933510575201</v>
      </c>
      <c r="R60" s="11" t="n">
        <f aca="false">J60/Q60</f>
        <v>3248148.75213053</v>
      </c>
      <c r="S60" s="11" t="n">
        <f aca="false">K60/Q60</f>
        <v>32481.4875213053</v>
      </c>
      <c r="T60" s="8" t="n">
        <f aca="false">M60/$B62</f>
        <v>0.535367842479868</v>
      </c>
      <c r="U60" s="8" t="n">
        <f aca="false">(M60+N60)/$B62</f>
        <v>0.603605274819189</v>
      </c>
      <c r="V60" s="8" t="n">
        <f aca="false">(M60+O60)/$B62</f>
        <v>0.649096896378737</v>
      </c>
    </row>
    <row r="61" customFormat="false" ht="15.75" hidden="false" customHeight="true" outlineLevel="0" collapsed="false">
      <c r="A61" s="4" t="s">
        <v>110</v>
      </c>
      <c r="B61" s="4"/>
      <c r="C61" s="4"/>
      <c r="D61" s="4"/>
      <c r="E61" s="4"/>
      <c r="F61" s="4"/>
      <c r="G61" s="4"/>
      <c r="H61" s="4"/>
      <c r="I61" s="22" t="n">
        <f aca="false">SUM(I57:I60)</f>
        <v>88981380.288</v>
      </c>
      <c r="J61" s="22" t="n">
        <f aca="false">SUM(J57:J60)</f>
        <v>13347207.0432</v>
      </c>
      <c r="K61" s="22" t="n">
        <f aca="false">SUM(K57:K60)</f>
        <v>133472.070432</v>
      </c>
      <c r="L61" s="22" t="n">
        <f aca="false">SUM(L57:L60)</f>
        <v>24960</v>
      </c>
      <c r="M61" s="22" t="n">
        <f aca="false">SUM(M57:M60)</f>
        <v>108512.070432</v>
      </c>
      <c r="N61" s="22" t="n">
        <f aca="false">SUM(N57:N60)</f>
        <v>24960</v>
      </c>
      <c r="O61" s="22" t="n">
        <f aca="false">SUM(O57:O60)</f>
        <v>41600</v>
      </c>
      <c r="P61" s="4"/>
      <c r="Q61" s="4"/>
      <c r="R61" s="22" t="n">
        <f aca="false">SUM(R57:R60)</f>
        <v>9144541.03280233</v>
      </c>
      <c r="S61" s="22" t="n">
        <f aca="false">SUM(S57:S60)</f>
        <v>91445.4103280233</v>
      </c>
      <c r="T61" s="23" t="n">
        <f aca="false">AVERAGE(T57:T60)</f>
        <v>0.296658055452857</v>
      </c>
      <c r="U61" s="23" t="n">
        <f aca="false">AVERAGE(U57:U60)</f>
        <v>0.364895487792179</v>
      </c>
      <c r="V61" s="23" t="n">
        <f aca="false">AVERAGE(V57:V60)</f>
        <v>0.410387109351727</v>
      </c>
    </row>
    <row r="62" customFormat="false" ht="15.75" hidden="false" customHeight="true" outlineLevel="0" collapsed="false">
      <c r="A62" s="5" t="s">
        <v>111</v>
      </c>
      <c r="B62" s="22" t="n">
        <f aca="false">S61</f>
        <v>91445.4103280233</v>
      </c>
    </row>
    <row r="63" customFormat="false" ht="15.75" hidden="false" customHeight="true" outlineLevel="0" collapsed="false">
      <c r="A63" s="5" t="s">
        <v>112</v>
      </c>
      <c r="B63" s="6" t="n">
        <f aca="false">B62*Premissas!$B$15</f>
        <v>9144541.03280233</v>
      </c>
    </row>
    <row r="64" customFormat="false" ht="15.75" hidden="false" customHeight="true" outlineLevel="0" collapsed="false">
      <c r="A64" s="5" t="s">
        <v>113</v>
      </c>
      <c r="B64" s="22" t="n">
        <f aca="false">B62*Premissas!$B$16</f>
        <v>6126842.49197756</v>
      </c>
      <c r="C64" s="2" t="s">
        <v>114</v>
      </c>
    </row>
    <row r="65" customFormat="false" ht="15.75" hidden="false" customHeight="true" outlineLevel="0" collapsed="false">
      <c r="A65" s="5" t="s">
        <v>115</v>
      </c>
      <c r="B65" s="7" t="n">
        <f aca="false">K61/B62</f>
        <v>1.45958195116872</v>
      </c>
    </row>
    <row r="66" customFormat="false" ht="15.75" hidden="false" customHeight="true" outlineLevel="0" collapsed="false">
      <c r="A66" s="5" t="s">
        <v>116</v>
      </c>
      <c r="B66" s="6" t="n">
        <f aca="false">M61</f>
        <v>108512.070432</v>
      </c>
      <c r="C66" s="2" t="s">
        <v>117</v>
      </c>
      <c r="D66" s="6" t="n">
        <f aca="false">Premissas!$B$28</f>
        <v>41600</v>
      </c>
      <c r="E66" s="2" t="s">
        <v>118</v>
      </c>
      <c r="F66" s="22" t="n">
        <f aca="false">B66+D66</f>
        <v>150112.070432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128</v>
      </c>
    </row>
    <row r="6" customFormat="false" ht="15" hidden="false" customHeight="false" outlineLevel="0" collapsed="false">
      <c r="A6" s="5" t="s">
        <v>129</v>
      </c>
      <c r="B6" s="8" t="n">
        <v>0.0802</v>
      </c>
      <c r="C6" s="2" t="s">
        <v>130</v>
      </c>
    </row>
    <row r="7" customFormat="false" ht="15" hidden="false" customHeight="false" outlineLevel="0" collapsed="false">
      <c r="A7" s="5" t="s">
        <v>131</v>
      </c>
      <c r="B7" s="8" t="n">
        <v>0.035</v>
      </c>
      <c r="C7" s="2" t="s">
        <v>132</v>
      </c>
    </row>
    <row r="8" customFormat="false" ht="15" hidden="false" customHeight="false" outlineLevel="0" collapsed="false">
      <c r="A8" s="5" t="s">
        <v>133</v>
      </c>
      <c r="B8" s="8" t="n">
        <v>0.61</v>
      </c>
      <c r="C8" s="2" t="s">
        <v>134</v>
      </c>
    </row>
    <row r="9" customFormat="false" ht="15" hidden="false" customHeight="false" outlineLevel="0" collapsed="false">
      <c r="A9" s="5" t="s">
        <v>135</v>
      </c>
      <c r="B9" s="8" t="n">
        <v>0.0747</v>
      </c>
      <c r="C9" s="2" t="s">
        <v>136</v>
      </c>
    </row>
    <row r="10" customFormat="false" ht="15" hidden="false" customHeight="false" outlineLevel="0" collapsed="false">
      <c r="A10" s="5" t="s">
        <v>137</v>
      </c>
      <c r="B10" s="7" t="s">
        <v>138</v>
      </c>
      <c r="C10" s="2" t="s">
        <v>139</v>
      </c>
    </row>
    <row r="11" customFormat="false" ht="15" hidden="false" customHeight="false" outlineLevel="0" collapsed="false">
      <c r="A11" s="3" t="s">
        <v>140</v>
      </c>
      <c r="B11" s="3"/>
      <c r="C11" s="3"/>
    </row>
    <row r="12" customFormat="false" ht="15" hidden="false" customHeight="false" outlineLevel="0" collapsed="false">
      <c r="A12" s="5" t="s">
        <v>141</v>
      </c>
      <c r="B12" s="8" t="n">
        <f aca="false">(1+B6)*(1+B7)-1</f>
        <v>0.118007</v>
      </c>
      <c r="C12" s="2" t="s">
        <v>142</v>
      </c>
    </row>
    <row r="13" customFormat="false" ht="15" hidden="false" customHeight="false" outlineLevel="0" collapsed="false">
      <c r="A13" s="5" t="s">
        <v>143</v>
      </c>
      <c r="B13" s="8" t="n">
        <f aca="false">B8*B9</f>
        <v>0.045567</v>
      </c>
      <c r="C13" s="2"/>
    </row>
    <row r="14" customFormat="false" ht="15" hidden="false" customHeight="false" outlineLevel="0" collapsed="false">
      <c r="A14" s="5" t="s">
        <v>144</v>
      </c>
      <c r="B14" s="23" t="n">
        <f aca="false">B12+B13</f>
        <v>0.163574</v>
      </c>
      <c r="C14" s="2" t="s">
        <v>145</v>
      </c>
    </row>
    <row r="15" customFormat="false" ht="15" hidden="false" customHeight="false" outlineLevel="0" collapsed="false">
      <c r="A15" s="5" t="s">
        <v>146</v>
      </c>
      <c r="B15" s="8" t="n">
        <f aca="false">ROUND(B14,4)</f>
        <v>0.1636</v>
      </c>
      <c r="C15" s="2" t="s">
        <v>147</v>
      </c>
    </row>
    <row r="17" customFormat="false" ht="15" hidden="false" customHeight="false" outlineLevel="0" collapsed="false">
      <c r="A17" s="3" t="s">
        <v>148</v>
      </c>
      <c r="B17" s="3"/>
      <c r="C17" s="3"/>
    </row>
    <row r="18" customFormat="false" ht="15" hidden="false" customHeight="false" outlineLevel="0" collapsed="false">
      <c r="A18" s="5" t="s">
        <v>149</v>
      </c>
      <c r="B18" s="7"/>
      <c r="C18" s="2" t="s">
        <v>150</v>
      </c>
    </row>
    <row r="19" customFormat="false" ht="15" hidden="false" customHeight="false" outlineLevel="0" collapsed="false">
      <c r="A19" s="5" t="s">
        <v>151</v>
      </c>
      <c r="B19" s="7" t="n">
        <f aca="false">(1+$B$14)^0.5</f>
        <v>1.07869087323477</v>
      </c>
      <c r="C19" s="2" t="s">
        <v>152</v>
      </c>
    </row>
    <row r="20" customFormat="false" ht="15" hidden="false" customHeight="false" outlineLevel="0" collapsed="false">
      <c r="A20" s="5" t="s">
        <v>153</v>
      </c>
      <c r="B20" s="7" t="n">
        <f aca="false">(1+$B$14)^1.5</f>
        <v>1.25513665413328</v>
      </c>
      <c r="C20" s="2" t="s">
        <v>154</v>
      </c>
    </row>
    <row r="21" customFormat="false" ht="15.75" hidden="false" customHeight="true" outlineLevel="0" collapsed="false">
      <c r="A21" s="5" t="s">
        <v>155</v>
      </c>
      <c r="B21" s="7" t="n">
        <f aca="false">(1+$B$14)^2.5</f>
        <v>1.46044437719648</v>
      </c>
      <c r="C21" s="2" t="s">
        <v>156</v>
      </c>
    </row>
    <row r="22" customFormat="false" ht="15.75" hidden="false" customHeight="true" outlineLevel="0" collapsed="false">
      <c r="A22" s="5" t="s">
        <v>157</v>
      </c>
      <c r="B22" s="7" t="n">
        <f aca="false">(1+$B$14)^3.5</f>
        <v>1.69933510575201</v>
      </c>
      <c r="C22" s="2" t="s">
        <v>158</v>
      </c>
    </row>
    <row r="23" customFormat="false" ht="15.75" hidden="false" customHeight="true" outlineLevel="0" collapsed="false"/>
    <row r="24" customFormat="false" ht="42" hidden="false" customHeight="true" outlineLevel="0" collapsed="false">
      <c r="A24" s="24" t="s">
        <v>159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2026-09-23T00:49:23Z</dcterms:created>
  <dc:creator>openpyxl</dc:creator>
  <dc:description/>
  <dc:language>en-US</dc:language>
  <cp:lastModifiedBy/>
  <dcterms:modified xsi:type="dcterms:W3CDTF">2026-09-23T17:14:11Z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